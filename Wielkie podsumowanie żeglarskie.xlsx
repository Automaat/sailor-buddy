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sumowanie" sheetId="1" r:id="rId5"/>
    <sheet state="visible" name="opinie" sheetId="2" r:id="rId6"/>
    <sheet state="visible" name="Analiza" sheetId="3" r:id="rId7"/>
    <sheet state="visible" name="Wykresy" sheetId="4" r:id="rId8"/>
    <sheet state="visible" name="szkolenia" sheetId="5" r:id="rId9"/>
  </sheets>
  <definedNames/>
  <calcPr/>
</workbook>
</file>

<file path=xl/sharedStrings.xml><?xml version="1.0" encoding="utf-8"?>
<sst xmlns="http://schemas.openxmlformats.org/spreadsheetml/2006/main" count="263" uniqueCount="172">
  <si>
    <t>Suma godzin</t>
  </si>
  <si>
    <t xml:space="preserve">Wody pływowe </t>
  </si>
  <si>
    <t>Suma godzin na żaglach</t>
  </si>
  <si>
    <t>Suma godzin na silniku</t>
  </si>
  <si>
    <t>Suma mil</t>
  </si>
  <si>
    <t>Ilość dni na morzu</t>
  </si>
  <si>
    <t>Suma godzin jak JSM</t>
  </si>
  <si>
    <t>Suma godzin jako żeglarz</t>
  </si>
  <si>
    <t>Suma godzin na Brego</t>
  </si>
  <si>
    <t>Godziny kapitańskie</t>
  </si>
  <si>
    <t>Mile kapitańskie</t>
  </si>
  <si>
    <t>Dni na morzu kapitańskie</t>
  </si>
  <si>
    <t>Antoni Kołodziej</t>
  </si>
  <si>
    <t>Krzysztof Jeziorowski</t>
  </si>
  <si>
    <t>Paweł Jóźwik</t>
  </si>
  <si>
    <t>Jakub Frankiewicz</t>
  </si>
  <si>
    <t>Wojciech Sajdak</t>
  </si>
  <si>
    <t>Do Kapitana brakuje mi</t>
  </si>
  <si>
    <t>Jarosław Szeszko</t>
  </si>
  <si>
    <t>Godzin na wodach pływowych</t>
  </si>
  <si>
    <t>Tomasz Ostrowski</t>
  </si>
  <si>
    <t>Na jachcie powyżej 20m</t>
  </si>
  <si>
    <t>Marek Załęcki</t>
  </si>
  <si>
    <t>Prowadzenia jachtu</t>
  </si>
  <si>
    <t>Marcin Skalski</t>
  </si>
  <si>
    <t>Łacznie godzin</t>
  </si>
  <si>
    <t>Bartosz Małecki</t>
  </si>
  <si>
    <t>W tym dowolnych godzin</t>
  </si>
  <si>
    <t>Mateusz Buta</t>
  </si>
  <si>
    <t>Krzyszof Dziechciarz</t>
  </si>
  <si>
    <t>Krzysztof Bronikowski</t>
  </si>
  <si>
    <t>Andrzej Pochodaj</t>
  </si>
  <si>
    <t>Nazwa Rejsu</t>
  </si>
  <si>
    <t>Rok</t>
  </si>
  <si>
    <t>Zaokrętowanie</t>
  </si>
  <si>
    <t>Wyokrętowanie</t>
  </si>
  <si>
    <t>Kraj</t>
  </si>
  <si>
    <t>Port startowy</t>
  </si>
  <si>
    <t>Port końcowy</t>
  </si>
  <si>
    <t>Ilość godzin</t>
  </si>
  <si>
    <t>Ilość godzin na żaglach</t>
  </si>
  <si>
    <t>Ilość godzin na silniku</t>
  </si>
  <si>
    <t>Ilość godzin powyżej 6 B</t>
  </si>
  <si>
    <t>Ilość mil morskich</t>
  </si>
  <si>
    <t>Długość rejsu w dniach</t>
  </si>
  <si>
    <t>Funkcja na jachcie</t>
  </si>
  <si>
    <t>Kapitan</t>
  </si>
  <si>
    <t>Nazwa jachtu</t>
  </si>
  <si>
    <t>Nr patentu</t>
  </si>
  <si>
    <t>Kojowe</t>
  </si>
  <si>
    <t>Składka</t>
  </si>
  <si>
    <t>Dojazdy</t>
  </si>
  <si>
    <t>Łaczny koszt</t>
  </si>
  <si>
    <t>Cena godziny</t>
  </si>
  <si>
    <t>Wody pływowe</t>
  </si>
  <si>
    <t>do poprawy jak dostane opinie</t>
  </si>
  <si>
    <t xml:space="preserve">Kana Chorwacja </t>
  </si>
  <si>
    <t>Chorwacja</t>
  </si>
  <si>
    <t>Sukosan</t>
  </si>
  <si>
    <t>załogant</t>
  </si>
  <si>
    <t>Uksa</t>
  </si>
  <si>
    <t>KT/48</t>
  </si>
  <si>
    <t>NNE 2014</t>
  </si>
  <si>
    <t>Maroko, Hiszpania</t>
  </si>
  <si>
    <t>Mohamedia</t>
  </si>
  <si>
    <t>Teneryfa</t>
  </si>
  <si>
    <t>x</t>
  </si>
  <si>
    <t>WSEX 2017</t>
  </si>
  <si>
    <t>Grecja</t>
  </si>
  <si>
    <t>Alimos Kalamaki</t>
  </si>
  <si>
    <t>Lange 2017</t>
  </si>
  <si>
    <t>Polska</t>
  </si>
  <si>
    <t>Szczecin</t>
  </si>
  <si>
    <t>Marengo</t>
  </si>
  <si>
    <t>NNE 2017</t>
  </si>
  <si>
    <t>Szwecja, Finlandia</t>
  </si>
  <si>
    <t>Ystad</t>
  </si>
  <si>
    <t>Turku</t>
  </si>
  <si>
    <t>WSEX 2018</t>
  </si>
  <si>
    <t>Hiszpania</t>
  </si>
  <si>
    <t>Palamos</t>
  </si>
  <si>
    <t>Marina Estrella Four</t>
  </si>
  <si>
    <t>Kurs sternika morskiego</t>
  </si>
  <si>
    <t>Gdynia</t>
  </si>
  <si>
    <t>kursant</t>
  </si>
  <si>
    <t>-</t>
  </si>
  <si>
    <t>Chopin 2019</t>
  </si>
  <si>
    <t>Holandia, Dania, Szwecja</t>
  </si>
  <si>
    <t>Amsterdam</t>
  </si>
  <si>
    <t>Goteborg</t>
  </si>
  <si>
    <t>PU/3843</t>
  </si>
  <si>
    <t>Lange 2019</t>
  </si>
  <si>
    <t>3 oficer</t>
  </si>
  <si>
    <t>SSEX 2019</t>
  </si>
  <si>
    <t>Tajlandia</t>
  </si>
  <si>
    <t>Phuket</t>
  </si>
  <si>
    <t>NNE 2019</t>
  </si>
  <si>
    <t>Norwegia, Szkocja, Irlandia</t>
  </si>
  <si>
    <t>Egersund</t>
  </si>
  <si>
    <t>Dublin</t>
  </si>
  <si>
    <t>2 oficer</t>
  </si>
  <si>
    <t>Brego</t>
  </si>
  <si>
    <t>Winter 2020</t>
  </si>
  <si>
    <t>Czarnogóra</t>
  </si>
  <si>
    <t>Tivat</t>
  </si>
  <si>
    <t>kapitan</t>
  </si>
  <si>
    <t>Tango</t>
  </si>
  <si>
    <t>NNE 2022</t>
  </si>
  <si>
    <t>Norwegia</t>
  </si>
  <si>
    <t>Tromso</t>
  </si>
  <si>
    <t>Bodo</t>
  </si>
  <si>
    <t>Trondheim</t>
  </si>
  <si>
    <t>1 oficer</t>
  </si>
  <si>
    <t>Bergen</t>
  </si>
  <si>
    <t>4 oficer</t>
  </si>
  <si>
    <t>NNE 2023</t>
  </si>
  <si>
    <t>Islandia</t>
  </si>
  <si>
    <t>Rejkjavik</t>
  </si>
  <si>
    <t>Isafjordur</t>
  </si>
  <si>
    <t>Niemcy, Dania</t>
  </si>
  <si>
    <t>Cuxhavn</t>
  </si>
  <si>
    <t>Nordkap luty</t>
  </si>
  <si>
    <t>Azimuth</t>
  </si>
  <si>
    <t>NNE 2024</t>
  </si>
  <si>
    <t>Szkocja, Irlandia Północna, Anglia</t>
  </si>
  <si>
    <t>Troon</t>
  </si>
  <si>
    <t>Liverpool</t>
  </si>
  <si>
    <t>Cape Horn</t>
  </si>
  <si>
    <t>Argentyna</t>
  </si>
  <si>
    <t>Ushuaia</t>
  </si>
  <si>
    <t>Selma</t>
  </si>
  <si>
    <t>NNE 2025</t>
  </si>
  <si>
    <t>Wyspy Owcze, Islandia</t>
  </si>
  <si>
    <t>Torshavn</t>
  </si>
  <si>
    <t>Keflavik</t>
  </si>
  <si>
    <t>Metric</t>
  </si>
  <si>
    <t>Value</t>
  </si>
  <si>
    <t>Total trips</t>
  </si>
  <si>
    <t>Total miles sailed</t>
  </si>
  <si>
    <t>Total hours</t>
  </si>
  <si>
    <t>Total hours sail</t>
  </si>
  <si>
    <t>Total hours engine</t>
  </si>
  <si>
    <t>Miles per sailing hour</t>
  </si>
  <si>
    <t>Miles per engine hour</t>
  </si>
  <si>
    <t>% time sailing</t>
  </si>
  <si>
    <t>% time engine</t>
  </si>
  <si>
    <t>Average trip length</t>
  </si>
  <si>
    <t>Longest trip length</t>
  </si>
  <si>
    <t>Shortest trip length</t>
  </si>
  <si>
    <t>Total cost</t>
  </si>
  <si>
    <t>Average cost per trip</t>
  </si>
  <si>
    <t>Cost per mile</t>
  </si>
  <si>
    <t>Cost per day</t>
  </si>
  <si>
    <t>Distinct countries</t>
  </si>
  <si>
    <t>Most visited country</t>
  </si>
  <si>
    <t>Average miles per trip</t>
  </si>
  <si>
    <t>Total days at sea</t>
  </si>
  <si>
    <t>Hours on Sail</t>
  </si>
  <si>
    <t>Hours on Engine</t>
  </si>
  <si>
    <t xml:space="preserve">
</t>
  </si>
  <si>
    <t>Data</t>
  </si>
  <si>
    <t>Nazwa</t>
  </si>
  <si>
    <t>Organizator</t>
  </si>
  <si>
    <t>Cena</t>
  </si>
  <si>
    <t>SRC</t>
  </si>
  <si>
    <t>Radar RYA</t>
  </si>
  <si>
    <t>Kliper</t>
  </si>
  <si>
    <t>STCW</t>
  </si>
  <si>
    <t>Maritime Security</t>
  </si>
  <si>
    <t>https://maritime-security.eu/</t>
  </si>
  <si>
    <t>Kurs z silnika</t>
  </si>
  <si>
    <t>OceanTeam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</si>
</sst>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"/>
    <numFmt numFmtId="166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0" numFmtId="0" xfId="0" applyFill="1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3" fontId="1" numFmtId="0" xfId="0" applyFill="1" applyFont="1"/>
    <xf borderId="0" fillId="3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164" xfId="0" applyAlignment="1" applyFont="1" applyNumberForma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5" fontId="1" numFmtId="0" xfId="0" applyAlignment="1" applyFill="1" applyFont="1">
      <alignment shrinkToFit="0" vertical="center" wrapText="0"/>
    </xf>
    <xf borderId="0" fillId="5" fontId="1" numFmtId="3" xfId="0" applyAlignment="1" applyFont="1" applyNumberFormat="1">
      <alignment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0" fillId="4" fontId="1" numFmtId="0" xfId="0" applyFont="1"/>
    <xf borderId="0" fillId="2" fontId="1" numFmtId="0" xfId="0" applyFont="1"/>
    <xf borderId="0" fillId="0" fontId="1" numFmtId="0" xfId="0" applyAlignment="1" applyFont="1">
      <alignment shrinkToFit="0" vertical="center" wrapText="0"/>
    </xf>
    <xf borderId="0" fillId="0" fontId="1" numFmtId="3" xfId="0" applyFont="1" applyNumberFormat="1"/>
    <xf borderId="0" fillId="0" fontId="1" numFmtId="2" xfId="0" applyFont="1" applyNumberFormat="1"/>
    <xf borderId="0" fillId="0" fontId="1" numFmtId="9" xfId="0" applyFont="1" applyNumberFormat="1"/>
    <xf borderId="0" fillId="0" fontId="1" numFmtId="165" xfId="0" applyFont="1" applyNumberFormat="1"/>
    <xf borderId="0" fillId="0" fontId="1" numFmtId="1" xfId="0" applyFont="1" applyNumberFormat="1"/>
    <xf borderId="0" fillId="0" fontId="1" numFmtId="4" xfId="0" applyFont="1" applyNumberFormat="1"/>
    <xf borderId="0" fillId="0" fontId="1" numFmtId="0" xfId="0" applyAlignment="1" applyFont="1">
      <alignment horizontal="right" readingOrder="0"/>
    </xf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opini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Wykresy!$A$14:$A$15</c:f>
            </c:strRef>
          </c:cat>
          <c:val>
            <c:numRef>
              <c:f>Wykresy!$B$14:$B$15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miles vs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Wykresy!$B$1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Wykresy!$A$2:$A$11</c:f>
            </c:strRef>
          </c:cat>
          <c:val>
            <c:numRef>
              <c:f>Wykresy!$B$2:$B$11</c:f>
              <c:numCache/>
            </c:numRef>
          </c:val>
        </c:ser>
        <c:axId val="96495995"/>
        <c:axId val="2137230121"/>
      </c:barChart>
      <c:catAx>
        <c:axId val="96495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230121"/>
      </c:catAx>
      <c:valAx>
        <c:axId val="2137230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miles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959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cost vs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Wykresy!$B$36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Wykresy!$A$37:$A$46</c:f>
            </c:strRef>
          </c:cat>
          <c:val>
            <c:numRef>
              <c:f>Wykresy!$B$37:$B$46</c:f>
              <c:numCache/>
            </c:numRef>
          </c:val>
        </c:ser>
        <c:axId val="755923257"/>
        <c:axId val="1120212832"/>
      </c:barChart>
      <c:catAx>
        <c:axId val="755923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212832"/>
      </c:catAx>
      <c:valAx>
        <c:axId val="1120212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9232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714375</xdr:colOff>
      <xdr:row>20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638175</xdr:colOff>
      <xdr:row>1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790575</xdr:colOff>
      <xdr:row>37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73" displayName="Tabela1" name="Tabela1" id="1">
  <tableColumns count="23">
    <tableColumn name="Nazwa Rejsu" id="1"/>
    <tableColumn name="Rok" id="2"/>
    <tableColumn name="Zaokrętowanie" id="3"/>
    <tableColumn name="Wyokrętowanie" id="4"/>
    <tableColumn name="Kraj" id="5"/>
    <tableColumn name="Port startowy" id="6"/>
    <tableColumn name="Port końcowy" id="7"/>
    <tableColumn name="Ilość godzin" id="8"/>
    <tableColumn name="Ilość godzin na żaglach" id="9"/>
    <tableColumn name="Ilość godzin na silniku" id="10"/>
    <tableColumn name="Ilość godzin powyżej 6 B" id="11"/>
    <tableColumn name="Ilość mil morskich" id="12"/>
    <tableColumn name="Długość rejsu w dniach" id="13"/>
    <tableColumn name="Funkcja na jachcie" id="14"/>
    <tableColumn name="Kapitan" id="15"/>
    <tableColumn name="Nazwa jachtu" id="16"/>
    <tableColumn name="Nr patentu" id="17"/>
    <tableColumn name="Kojowe" id="18"/>
    <tableColumn name="Składka" id="19"/>
    <tableColumn name="Dojazdy" id="20"/>
    <tableColumn name="Łaczny koszt" id="21"/>
    <tableColumn name="Cena godziny" id="22"/>
    <tableColumn name="Wody pływowe" id="23"/>
  </tableColumns>
  <tableStyleInfo name="opini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aritime-security.eu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8" max="8" width="40.38"/>
  </cols>
  <sheetData>
    <row r="1">
      <c r="A1" s="1" t="s">
        <v>0</v>
      </c>
      <c r="B1" s="2">
        <f>SUM(opinie!H:H)</f>
        <v>1736</v>
      </c>
      <c r="D1" s="2">
        <f>SUMIF(opinie!W:W, "TRUE", opinie!H:H)</f>
        <v>1222</v>
      </c>
      <c r="E1" s="1" t="s">
        <v>1</v>
      </c>
    </row>
    <row r="2">
      <c r="A2" s="1" t="s">
        <v>2</v>
      </c>
      <c r="B2" s="3">
        <f>SUM(opinie!I:I)</f>
        <v>510</v>
      </c>
      <c r="D2" s="2">
        <f>SUMIF(opinie!W:W, "TRUE", opinie!L:L)</f>
        <v>5003</v>
      </c>
    </row>
    <row r="3">
      <c r="A3" s="1" t="s">
        <v>3</v>
      </c>
      <c r="B3" s="3">
        <f>SUM(opinie!J:J)</f>
        <v>906</v>
      </c>
      <c r="D3" s="2">
        <f>SUMIF(opinie!W:W, "TRUE", opinie!M:M)</f>
        <v>101</v>
      </c>
    </row>
    <row r="4">
      <c r="A4" s="1" t="s">
        <v>4</v>
      </c>
      <c r="B4" s="2">
        <f>SUM(opinie!L:L)</f>
        <v>7143</v>
      </c>
    </row>
    <row r="5">
      <c r="A5" s="1" t="s">
        <v>5</v>
      </c>
      <c r="B5" s="2">
        <f>SUM(opinie!M:M)</f>
        <v>156</v>
      </c>
    </row>
    <row r="7">
      <c r="A7" s="1" t="s">
        <v>6</v>
      </c>
      <c r="B7" s="2">
        <f>SUMIF(opinie!Q:Q, "PU/3843", opinie!H:H)</f>
        <v>1279</v>
      </c>
    </row>
    <row r="8">
      <c r="A8" s="1" t="s">
        <v>7</v>
      </c>
      <c r="B8" s="3">
        <f>SUMIF(opinie!Q:Q, "KT/48", opinie!H:H)</f>
        <v>457</v>
      </c>
    </row>
    <row r="9">
      <c r="B9" s="4"/>
    </row>
    <row r="10">
      <c r="A10" s="1" t="s">
        <v>8</v>
      </c>
      <c r="B10" s="3">
        <f>SUMIF(opinie!P:P, "Brego", opinie!H:H)</f>
        <v>853</v>
      </c>
    </row>
    <row r="11">
      <c r="B11" s="4"/>
    </row>
    <row r="12">
      <c r="A12" s="1" t="s">
        <v>9</v>
      </c>
      <c r="B12" s="4">
        <f>SUMIF(opinie!N:N, "kapitan", opinie!H:H)</f>
        <v>288</v>
      </c>
    </row>
    <row r="13">
      <c r="A13" s="1" t="s">
        <v>10</v>
      </c>
      <c r="B13" s="4">
        <f>SUMIF(opinie!N:N, "kapitan", opinie!L:L)</f>
        <v>1096</v>
      </c>
      <c r="H13" s="2" t="str">
        <f t="array" ref="H13:H28">UNIQUE(opinie!O:O)</f>
        <v>Kapitan</v>
      </c>
    </row>
    <row r="14">
      <c r="A14" s="1" t="s">
        <v>11</v>
      </c>
      <c r="B14" s="4">
        <f>SUMIF(opinie!N:N, "kapitan", opinie!M:M)</f>
        <v>29</v>
      </c>
      <c r="H14" s="2" t="s">
        <v>12</v>
      </c>
      <c r="I14" s="3">
        <f>SUMIF(opinie!O:O, H14, opinie!H:H)</f>
        <v>46</v>
      </c>
    </row>
    <row r="15">
      <c r="B15" s="4"/>
      <c r="H15" s="2" t="s">
        <v>13</v>
      </c>
      <c r="I15" s="3">
        <f>SUMIF(opinie!O:O, H15, opinie!H:H)</f>
        <v>448</v>
      </c>
    </row>
    <row r="16">
      <c r="H16" s="2" t="s">
        <v>14</v>
      </c>
      <c r="I16" s="3">
        <f>SUMIF(opinie!O:O, H16, opinie!H:H)</f>
        <v>45</v>
      </c>
    </row>
    <row r="17">
      <c r="H17" s="2" t="s">
        <v>15</v>
      </c>
      <c r="I17" s="3">
        <f>SUMIF(opinie!O:O, H17, opinie!H:H)</f>
        <v>152</v>
      </c>
    </row>
    <row r="18">
      <c r="H18" s="2" t="s">
        <v>16</v>
      </c>
      <c r="I18" s="3">
        <f>SUMIF(opinie!O:O, H18, opinie!H:H)</f>
        <v>90</v>
      </c>
    </row>
    <row r="19">
      <c r="A19" s="5" t="s">
        <v>17</v>
      </c>
      <c r="H19" s="2" t="s">
        <v>18</v>
      </c>
      <c r="I19" s="3">
        <f>SUMIF(opinie!O:O, H19, opinie!H:H)</f>
        <v>54</v>
      </c>
    </row>
    <row r="20">
      <c r="A20" s="1" t="s">
        <v>19</v>
      </c>
      <c r="B20" s="1">
        <v>0.0</v>
      </c>
      <c r="H20" s="2" t="s">
        <v>20</v>
      </c>
      <c r="I20" s="3">
        <f>SUMIF(opinie!O:O, H20, opinie!H:H)</f>
        <v>97</v>
      </c>
    </row>
    <row r="21">
      <c r="A21" s="1" t="s">
        <v>21</v>
      </c>
      <c r="B21" s="1">
        <v>100.0</v>
      </c>
      <c r="H21" s="2" t="s">
        <v>22</v>
      </c>
      <c r="I21" s="3">
        <f>SUMIF(opinie!O:O, H21, opinie!H:H)</f>
        <v>53</v>
      </c>
    </row>
    <row r="22">
      <c r="A22" s="1" t="s">
        <v>23</v>
      </c>
      <c r="B22" s="2">
        <f>400-B12</f>
        <v>112</v>
      </c>
      <c r="H22" s="2" t="s">
        <v>24</v>
      </c>
      <c r="I22" s="3">
        <f>SUMIF(opinie!O:O, H22, opinie!H:H)</f>
        <v>288</v>
      </c>
    </row>
    <row r="23">
      <c r="A23" s="1" t="s">
        <v>25</v>
      </c>
      <c r="B23" s="2">
        <f>1200-B7</f>
        <v>-79</v>
      </c>
      <c r="H23" s="2" t="s">
        <v>26</v>
      </c>
      <c r="I23" s="3">
        <f>SUMIF(opinie!O:O, H23, opinie!H:H)</f>
        <v>79</v>
      </c>
    </row>
    <row r="24">
      <c r="A24" s="1" t="s">
        <v>27</v>
      </c>
      <c r="B24" s="2">
        <f>B23-B22-B21</f>
        <v>-291</v>
      </c>
      <c r="H24" s="2" t="s">
        <v>28</v>
      </c>
      <c r="I24" s="3">
        <f>SUMIF(opinie!O:O, H24, opinie!H:H)</f>
        <v>94</v>
      </c>
    </row>
    <row r="25">
      <c r="H25" s="2" t="s">
        <v>29</v>
      </c>
      <c r="I25" s="3">
        <f>SUMIF(opinie!O:O, H25, opinie!H:H)</f>
        <v>94</v>
      </c>
    </row>
    <row r="26">
      <c r="H26" s="2" t="s">
        <v>30</v>
      </c>
      <c r="I26" s="3">
        <f>SUMIF(opinie!O:O, H26, opinie!H:H)</f>
        <v>102</v>
      </c>
    </row>
    <row r="27">
      <c r="H27" s="2" t="s">
        <v>31</v>
      </c>
      <c r="I27" s="3">
        <f>SUMIF(opinie!O:O, H27, opinie!H:H)</f>
        <v>94</v>
      </c>
    </row>
    <row r="28">
      <c r="H2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25"/>
    <col customWidth="1" min="3" max="3" width="19.75"/>
    <col customWidth="1" min="4" max="4" width="20.13"/>
    <col customWidth="1" min="5" max="5" width="27.13"/>
    <col customWidth="1" min="6" max="6" width="15.5"/>
    <col customWidth="1" min="7" max="7" width="15.63"/>
    <col customWidth="1" min="8" max="8" width="17.63"/>
    <col customWidth="1" min="9" max="9" width="26.13"/>
    <col customWidth="1" min="10" max="10" width="25.13"/>
    <col customWidth="1" min="11" max="11" width="26.88"/>
    <col customWidth="1" min="12" max="12" width="22.25"/>
    <col customWidth="1" min="13" max="13" width="25.88"/>
    <col customWidth="1" min="14" max="14" width="19.13"/>
    <col customWidth="1" min="15" max="15" width="18.63"/>
    <col customWidth="1" min="16" max="16" width="17.13"/>
    <col customWidth="1" min="17" max="17" width="16.63"/>
    <col customWidth="1" min="21" max="21" width="18.38"/>
    <col customWidth="1" min="22" max="22" width="15.5"/>
    <col customWidth="1" min="23" max="23" width="19.75"/>
  </cols>
  <sheetData>
    <row r="1" ht="22.5" customHeight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50</v>
      </c>
      <c r="T1" s="6" t="s">
        <v>51</v>
      </c>
      <c r="U1" s="6" t="s">
        <v>52</v>
      </c>
      <c r="V1" s="7" t="s">
        <v>53</v>
      </c>
      <c r="W1" s="6" t="s">
        <v>54</v>
      </c>
      <c r="X1" s="8"/>
      <c r="Y1" s="8"/>
      <c r="Z1" s="8"/>
      <c r="AA1" s="9" t="s">
        <v>55</v>
      </c>
      <c r="AB1" s="8"/>
      <c r="AC1" s="8"/>
      <c r="AD1" s="8"/>
      <c r="AE1" s="8"/>
      <c r="AF1" s="8"/>
      <c r="AG1" s="8"/>
      <c r="AH1" s="8"/>
      <c r="AI1" s="8"/>
      <c r="AJ1" s="8"/>
    </row>
    <row r="2" ht="22.5" customHeight="1">
      <c r="A2" s="10" t="s">
        <v>56</v>
      </c>
      <c r="B2" s="11">
        <v>2013.0</v>
      </c>
      <c r="C2" s="12">
        <v>41531.0</v>
      </c>
      <c r="D2" s="12">
        <v>41538.0</v>
      </c>
      <c r="E2" s="6" t="s">
        <v>57</v>
      </c>
      <c r="F2" s="6" t="s">
        <v>58</v>
      </c>
      <c r="G2" s="6" t="s">
        <v>58</v>
      </c>
      <c r="H2" s="11">
        <f>I2+J2</f>
        <v>46</v>
      </c>
      <c r="I2" s="11">
        <v>27.0</v>
      </c>
      <c r="J2" s="11">
        <v>19.0</v>
      </c>
      <c r="K2" s="11">
        <v>0.0</v>
      </c>
      <c r="L2" s="11">
        <v>238.0</v>
      </c>
      <c r="M2" s="11">
        <f>D2-C2</f>
        <v>7</v>
      </c>
      <c r="N2" s="6" t="s">
        <v>59</v>
      </c>
      <c r="O2" s="6" t="s">
        <v>12</v>
      </c>
      <c r="P2" s="6" t="s">
        <v>60</v>
      </c>
      <c r="Q2" s="13" t="s">
        <v>61</v>
      </c>
      <c r="U2" s="14">
        <f t="shared" ref="U2:U65" si="1">SUM($R2:$T2)</f>
        <v>0</v>
      </c>
      <c r="V2" s="15"/>
      <c r="W2" s="16" t="b">
        <v>0</v>
      </c>
    </row>
    <row r="3" ht="22.5" customHeight="1">
      <c r="A3" s="10" t="s">
        <v>62</v>
      </c>
      <c r="B3" s="11">
        <v>2014.0</v>
      </c>
      <c r="C3" s="17"/>
      <c r="D3" s="17"/>
      <c r="E3" s="10" t="s">
        <v>63</v>
      </c>
      <c r="F3" s="10" t="s">
        <v>64</v>
      </c>
      <c r="G3" s="10" t="s">
        <v>65</v>
      </c>
      <c r="H3" s="11">
        <v>120.0</v>
      </c>
      <c r="I3" s="14"/>
      <c r="J3" s="14"/>
      <c r="K3" s="11">
        <v>0.0</v>
      </c>
      <c r="L3" s="11">
        <v>600.0</v>
      </c>
      <c r="M3" s="11">
        <v>7.0</v>
      </c>
      <c r="N3" s="10" t="s">
        <v>59</v>
      </c>
      <c r="O3" s="10" t="s">
        <v>13</v>
      </c>
      <c r="Q3" s="13" t="s">
        <v>61</v>
      </c>
      <c r="U3" s="14">
        <f t="shared" si="1"/>
        <v>0</v>
      </c>
      <c r="V3" s="15"/>
      <c r="W3" s="16" t="b">
        <v>1</v>
      </c>
      <c r="AA3" s="1" t="s">
        <v>66</v>
      </c>
    </row>
    <row r="4" ht="22.5" customHeight="1">
      <c r="A4" s="10" t="s">
        <v>67</v>
      </c>
      <c r="B4" s="11">
        <v>2017.0</v>
      </c>
      <c r="C4" s="12">
        <v>42784.0</v>
      </c>
      <c r="D4" s="12">
        <v>42791.0</v>
      </c>
      <c r="E4" s="10" t="s">
        <v>68</v>
      </c>
      <c r="F4" s="10" t="s">
        <v>69</v>
      </c>
      <c r="G4" s="10" t="s">
        <v>69</v>
      </c>
      <c r="H4" s="11">
        <f>I4+J4</f>
        <v>45</v>
      </c>
      <c r="I4" s="11">
        <v>24.0</v>
      </c>
      <c r="J4" s="11">
        <v>21.0</v>
      </c>
      <c r="K4" s="11">
        <v>0.0</v>
      </c>
      <c r="L4" s="11">
        <v>171.0</v>
      </c>
      <c r="M4" s="14">
        <f>D4-C4</f>
        <v>7</v>
      </c>
      <c r="N4" s="10" t="s">
        <v>59</v>
      </c>
      <c r="O4" s="10" t="s">
        <v>14</v>
      </c>
      <c r="Q4" s="13" t="s">
        <v>61</v>
      </c>
      <c r="U4" s="14">
        <f t="shared" si="1"/>
        <v>0</v>
      </c>
      <c r="V4" s="15"/>
      <c r="W4" s="16" t="b">
        <v>0</v>
      </c>
    </row>
    <row r="5" ht="22.5" customHeight="1">
      <c r="A5" s="10" t="s">
        <v>70</v>
      </c>
      <c r="B5" s="11">
        <v>2017.0</v>
      </c>
      <c r="C5" s="12"/>
      <c r="D5" s="12"/>
      <c r="E5" s="10" t="s">
        <v>71</v>
      </c>
      <c r="F5" s="10" t="s">
        <v>72</v>
      </c>
      <c r="G5" s="10" t="s">
        <v>72</v>
      </c>
      <c r="H5" s="11">
        <v>40.0</v>
      </c>
      <c r="I5" s="11"/>
      <c r="J5" s="11"/>
      <c r="K5" s="11">
        <v>0.0</v>
      </c>
      <c r="L5" s="11">
        <v>150.0</v>
      </c>
      <c r="M5" s="11">
        <v>4.0</v>
      </c>
      <c r="N5" s="10" t="s">
        <v>59</v>
      </c>
      <c r="O5" s="10" t="s">
        <v>15</v>
      </c>
      <c r="P5" s="10" t="s">
        <v>73</v>
      </c>
      <c r="Q5" s="13" t="s">
        <v>61</v>
      </c>
      <c r="U5" s="14">
        <f t="shared" si="1"/>
        <v>0</v>
      </c>
      <c r="V5" s="15"/>
      <c r="W5" s="16" t="b">
        <v>0</v>
      </c>
      <c r="AA5" s="1" t="s">
        <v>66</v>
      </c>
    </row>
    <row r="6" ht="22.5" customHeight="1">
      <c r="A6" s="10" t="s">
        <v>74</v>
      </c>
      <c r="B6" s="11">
        <v>2017.0</v>
      </c>
      <c r="C6" s="12">
        <v>42945.0</v>
      </c>
      <c r="D6" s="12">
        <v>42952.0</v>
      </c>
      <c r="E6" s="10" t="s">
        <v>75</v>
      </c>
      <c r="F6" s="10" t="s">
        <v>76</v>
      </c>
      <c r="G6" s="10" t="s">
        <v>77</v>
      </c>
      <c r="H6" s="11">
        <f t="shared" ref="H6:H10" si="2">I6+J6</f>
        <v>112</v>
      </c>
      <c r="I6" s="11">
        <v>81.0</v>
      </c>
      <c r="J6" s="11">
        <v>31.0</v>
      </c>
      <c r="K6" s="11">
        <v>0.0</v>
      </c>
      <c r="L6" s="11">
        <v>497.0</v>
      </c>
      <c r="M6" s="14">
        <f t="shared" ref="M6:M10" si="3">D6-C6</f>
        <v>7</v>
      </c>
      <c r="N6" s="10" t="s">
        <v>59</v>
      </c>
      <c r="O6" s="10" t="s">
        <v>15</v>
      </c>
      <c r="P6" s="10" t="s">
        <v>73</v>
      </c>
      <c r="Q6" s="13" t="s">
        <v>61</v>
      </c>
      <c r="U6" s="14">
        <f t="shared" si="1"/>
        <v>0</v>
      </c>
      <c r="V6" s="15"/>
      <c r="W6" s="16" t="b">
        <v>0</v>
      </c>
    </row>
    <row r="7" ht="22.5" customHeight="1">
      <c r="A7" s="10" t="s">
        <v>78</v>
      </c>
      <c r="B7" s="11">
        <v>2018.0</v>
      </c>
      <c r="C7" s="12">
        <v>43148.0</v>
      </c>
      <c r="D7" s="12">
        <v>43155.0</v>
      </c>
      <c r="E7" s="10" t="s">
        <v>79</v>
      </c>
      <c r="F7" s="10" t="s">
        <v>80</v>
      </c>
      <c r="G7" s="10" t="s">
        <v>80</v>
      </c>
      <c r="H7" s="11">
        <f t="shared" si="2"/>
        <v>40</v>
      </c>
      <c r="I7" s="11">
        <v>20.0</v>
      </c>
      <c r="J7" s="11">
        <v>20.0</v>
      </c>
      <c r="K7" s="11">
        <v>0.0</v>
      </c>
      <c r="L7" s="11">
        <v>170.0</v>
      </c>
      <c r="M7" s="14">
        <f t="shared" si="3"/>
        <v>7</v>
      </c>
      <c r="N7" s="10" t="s">
        <v>59</v>
      </c>
      <c r="O7" s="10" t="s">
        <v>16</v>
      </c>
      <c r="P7" s="10" t="s">
        <v>81</v>
      </c>
      <c r="Q7" s="13" t="s">
        <v>61</v>
      </c>
      <c r="U7" s="14">
        <f t="shared" si="1"/>
        <v>0</v>
      </c>
      <c r="V7" s="15"/>
      <c r="W7" s="16" t="b">
        <v>0</v>
      </c>
    </row>
    <row r="8" ht="22.5" customHeight="1">
      <c r="A8" s="18" t="s">
        <v>82</v>
      </c>
      <c r="B8" s="19">
        <v>2018.0</v>
      </c>
      <c r="C8" s="20">
        <v>43246.0</v>
      </c>
      <c r="D8" s="20">
        <v>43252.0</v>
      </c>
      <c r="E8" s="18" t="s">
        <v>71</v>
      </c>
      <c r="F8" s="18" t="s">
        <v>83</v>
      </c>
      <c r="G8" s="18" t="s">
        <v>83</v>
      </c>
      <c r="H8" s="19">
        <f t="shared" si="2"/>
        <v>54</v>
      </c>
      <c r="I8" s="19">
        <v>36.0</v>
      </c>
      <c r="J8" s="19">
        <v>18.0</v>
      </c>
      <c r="K8" s="19">
        <v>0.0</v>
      </c>
      <c r="L8" s="19">
        <v>210.0</v>
      </c>
      <c r="M8" s="21">
        <f t="shared" si="3"/>
        <v>6</v>
      </c>
      <c r="N8" s="18" t="s">
        <v>84</v>
      </c>
      <c r="O8" s="18" t="s">
        <v>18</v>
      </c>
      <c r="P8" s="18" t="s">
        <v>85</v>
      </c>
      <c r="Q8" s="22" t="s">
        <v>61</v>
      </c>
      <c r="R8" s="23"/>
      <c r="S8" s="23"/>
      <c r="T8" s="23"/>
      <c r="U8" s="24">
        <f t="shared" si="1"/>
        <v>0</v>
      </c>
      <c r="V8" s="25"/>
      <c r="W8" s="26" t="b">
        <v>0</v>
      </c>
      <c r="X8" s="27"/>
      <c r="Z8" s="28"/>
      <c r="AA8" s="28"/>
    </row>
    <row r="9" ht="22.5" customHeight="1">
      <c r="A9" s="10" t="s">
        <v>86</v>
      </c>
      <c r="B9" s="11">
        <v>2019.0</v>
      </c>
      <c r="C9" s="12">
        <v>43596.0</v>
      </c>
      <c r="D9" s="12">
        <v>43603.0</v>
      </c>
      <c r="E9" s="10" t="s">
        <v>87</v>
      </c>
      <c r="F9" s="10" t="s">
        <v>88</v>
      </c>
      <c r="G9" s="10" t="s">
        <v>89</v>
      </c>
      <c r="H9" s="11">
        <f t="shared" si="2"/>
        <v>97</v>
      </c>
      <c r="I9" s="11">
        <v>44.0</v>
      </c>
      <c r="J9" s="11">
        <v>53.0</v>
      </c>
      <c r="K9" s="11">
        <v>0.0</v>
      </c>
      <c r="L9" s="11">
        <v>630.0</v>
      </c>
      <c r="M9" s="14">
        <f t="shared" si="3"/>
        <v>7</v>
      </c>
      <c r="N9" s="10" t="s">
        <v>59</v>
      </c>
      <c r="O9" s="10" t="s">
        <v>20</v>
      </c>
      <c r="Q9" s="13" t="s">
        <v>90</v>
      </c>
      <c r="U9" s="14">
        <f t="shared" si="1"/>
        <v>0</v>
      </c>
      <c r="V9" s="15"/>
      <c r="W9" s="16" t="b">
        <v>1</v>
      </c>
    </row>
    <row r="10" ht="22.5" customHeight="1">
      <c r="A10" s="10" t="s">
        <v>91</v>
      </c>
      <c r="B10" s="11">
        <v>2019.0</v>
      </c>
      <c r="C10" s="12">
        <v>43636.0</v>
      </c>
      <c r="D10" s="12">
        <v>43639.0</v>
      </c>
      <c r="E10" s="10" t="s">
        <v>71</v>
      </c>
      <c r="F10" s="10" t="s">
        <v>72</v>
      </c>
      <c r="G10" s="10" t="s">
        <v>72</v>
      </c>
      <c r="H10" s="14">
        <f t="shared" si="2"/>
        <v>53</v>
      </c>
      <c r="I10" s="11">
        <v>25.0</v>
      </c>
      <c r="J10" s="11">
        <v>28.0</v>
      </c>
      <c r="K10" s="11">
        <v>0.0</v>
      </c>
      <c r="L10" s="11">
        <v>178.0</v>
      </c>
      <c r="M10" s="14">
        <f t="shared" si="3"/>
        <v>3</v>
      </c>
      <c r="N10" s="10" t="s">
        <v>92</v>
      </c>
      <c r="O10" s="10" t="s">
        <v>22</v>
      </c>
      <c r="P10" s="10" t="s">
        <v>73</v>
      </c>
      <c r="Q10" s="13" t="s">
        <v>90</v>
      </c>
      <c r="U10" s="14">
        <f t="shared" si="1"/>
        <v>0</v>
      </c>
      <c r="V10" s="15"/>
      <c r="W10" s="16" t="b">
        <v>0</v>
      </c>
    </row>
    <row r="11" ht="22.5" customHeight="1">
      <c r="A11" s="10" t="s">
        <v>93</v>
      </c>
      <c r="B11" s="11">
        <v>2019.0</v>
      </c>
      <c r="C11" s="12">
        <v>43398.0</v>
      </c>
      <c r="D11" s="12">
        <v>43406.0</v>
      </c>
      <c r="E11" s="10" t="s">
        <v>94</v>
      </c>
      <c r="F11" s="10" t="s">
        <v>95</v>
      </c>
      <c r="G11" s="10" t="s">
        <v>95</v>
      </c>
      <c r="H11" s="11">
        <v>50.0</v>
      </c>
      <c r="I11" s="14"/>
      <c r="J11" s="14"/>
      <c r="K11" s="11">
        <v>0.0</v>
      </c>
      <c r="L11" s="11">
        <v>100.0</v>
      </c>
      <c r="M11" s="11">
        <v>7.0</v>
      </c>
      <c r="N11" s="10" t="s">
        <v>59</v>
      </c>
      <c r="O11" s="10" t="s">
        <v>16</v>
      </c>
      <c r="Q11" s="13" t="s">
        <v>90</v>
      </c>
      <c r="U11" s="14">
        <f t="shared" si="1"/>
        <v>0</v>
      </c>
      <c r="V11" s="15"/>
      <c r="W11" s="16" t="b">
        <v>1</v>
      </c>
      <c r="AA11" s="1" t="s">
        <v>66</v>
      </c>
    </row>
    <row r="12" ht="22.5" customHeight="1">
      <c r="A12" s="10" t="s">
        <v>96</v>
      </c>
      <c r="B12" s="11">
        <v>2019.0</v>
      </c>
      <c r="C12" s="12">
        <v>43646.0</v>
      </c>
      <c r="D12" s="12">
        <v>43659.0</v>
      </c>
      <c r="E12" s="10" t="s">
        <v>97</v>
      </c>
      <c r="F12" s="10" t="s">
        <v>98</v>
      </c>
      <c r="G12" s="10" t="s">
        <v>99</v>
      </c>
      <c r="H12" s="11">
        <f t="shared" ref="H12:H15" si="4">I12+J12</f>
        <v>218</v>
      </c>
      <c r="I12" s="11">
        <v>27.0</v>
      </c>
      <c r="J12" s="11">
        <v>191.0</v>
      </c>
      <c r="K12" s="11">
        <v>0.0</v>
      </c>
      <c r="L12" s="11">
        <v>656.0</v>
      </c>
      <c r="M12" s="14">
        <f t="shared" ref="M12:M55" si="5">D12-C12</f>
        <v>13</v>
      </c>
      <c r="N12" s="10" t="s">
        <v>100</v>
      </c>
      <c r="O12" s="10" t="s">
        <v>13</v>
      </c>
      <c r="P12" s="10" t="s">
        <v>101</v>
      </c>
      <c r="Q12" s="13" t="s">
        <v>90</v>
      </c>
      <c r="U12" s="14">
        <f t="shared" si="1"/>
        <v>0</v>
      </c>
      <c r="V12" s="15"/>
      <c r="W12" s="16" t="b">
        <v>1</v>
      </c>
    </row>
    <row r="13" ht="22.5" customHeight="1">
      <c r="A13" s="10" t="s">
        <v>102</v>
      </c>
      <c r="B13" s="11">
        <v>2020.0</v>
      </c>
      <c r="C13" s="12">
        <v>43877.0</v>
      </c>
      <c r="D13" s="12">
        <v>43883.0</v>
      </c>
      <c r="E13" s="10" t="s">
        <v>103</v>
      </c>
      <c r="F13" s="10" t="s">
        <v>104</v>
      </c>
      <c r="G13" s="10" t="s">
        <v>104</v>
      </c>
      <c r="H13" s="11">
        <f t="shared" si="4"/>
        <v>30</v>
      </c>
      <c r="I13" s="11">
        <v>6.0</v>
      </c>
      <c r="J13" s="11">
        <v>24.0</v>
      </c>
      <c r="K13" s="11">
        <v>0.0</v>
      </c>
      <c r="L13" s="11">
        <v>93.0</v>
      </c>
      <c r="M13" s="14">
        <f t="shared" si="5"/>
        <v>6</v>
      </c>
      <c r="N13" s="10" t="s">
        <v>105</v>
      </c>
      <c r="O13" s="10" t="s">
        <v>24</v>
      </c>
      <c r="P13" s="10" t="s">
        <v>106</v>
      </c>
      <c r="Q13" s="13" t="s">
        <v>90</v>
      </c>
      <c r="U13" s="14">
        <f t="shared" si="1"/>
        <v>0</v>
      </c>
      <c r="V13" s="15"/>
      <c r="W13" s="16" t="b">
        <v>0</v>
      </c>
    </row>
    <row r="14" ht="22.5" customHeight="1">
      <c r="A14" s="10" t="s">
        <v>107</v>
      </c>
      <c r="B14" s="11">
        <v>2022.0</v>
      </c>
      <c r="C14" s="12">
        <v>44780.0</v>
      </c>
      <c r="D14" s="12">
        <v>44790.0</v>
      </c>
      <c r="E14" s="10" t="s">
        <v>108</v>
      </c>
      <c r="F14" s="10" t="s">
        <v>109</v>
      </c>
      <c r="G14" s="10" t="s">
        <v>110</v>
      </c>
      <c r="H14" s="11">
        <f t="shared" si="4"/>
        <v>79</v>
      </c>
      <c r="I14" s="11">
        <v>10.5</v>
      </c>
      <c r="J14" s="11">
        <v>68.5</v>
      </c>
      <c r="K14" s="11">
        <v>0.0</v>
      </c>
      <c r="L14" s="11">
        <v>295.0</v>
      </c>
      <c r="M14" s="14">
        <f t="shared" si="5"/>
        <v>10</v>
      </c>
      <c r="N14" s="10" t="s">
        <v>59</v>
      </c>
      <c r="O14" s="10" t="s">
        <v>26</v>
      </c>
      <c r="P14" s="10" t="s">
        <v>101</v>
      </c>
      <c r="Q14" s="13" t="s">
        <v>90</v>
      </c>
      <c r="U14" s="14">
        <f t="shared" si="1"/>
        <v>0</v>
      </c>
      <c r="V14" s="15"/>
      <c r="W14" s="16" t="b">
        <v>1</v>
      </c>
      <c r="AC14" s="28"/>
      <c r="AD14" s="28"/>
      <c r="AE14" s="28"/>
      <c r="AF14" s="28"/>
      <c r="AG14" s="28"/>
      <c r="AH14" s="28"/>
      <c r="AI14" s="28"/>
      <c r="AJ14" s="28"/>
    </row>
    <row r="15" ht="22.5" customHeight="1">
      <c r="A15" s="10" t="s">
        <v>107</v>
      </c>
      <c r="B15" s="11">
        <v>2022.0</v>
      </c>
      <c r="C15" s="12">
        <v>44790.0</v>
      </c>
      <c r="D15" s="12">
        <v>44798.0</v>
      </c>
      <c r="E15" s="10" t="s">
        <v>108</v>
      </c>
      <c r="F15" s="10" t="s">
        <v>110</v>
      </c>
      <c r="G15" s="10" t="s">
        <v>111</v>
      </c>
      <c r="H15" s="11">
        <f t="shared" si="4"/>
        <v>94</v>
      </c>
      <c r="I15" s="11">
        <v>29.0</v>
      </c>
      <c r="J15" s="11">
        <v>65.0</v>
      </c>
      <c r="K15" s="11">
        <v>0.0</v>
      </c>
      <c r="L15" s="11">
        <v>406.0</v>
      </c>
      <c r="M15" s="14">
        <f t="shared" si="5"/>
        <v>8</v>
      </c>
      <c r="N15" s="10" t="s">
        <v>112</v>
      </c>
      <c r="O15" s="10" t="s">
        <v>28</v>
      </c>
      <c r="P15" s="10" t="s">
        <v>101</v>
      </c>
      <c r="Q15" s="13" t="s">
        <v>90</v>
      </c>
      <c r="U15" s="14">
        <f t="shared" si="1"/>
        <v>0</v>
      </c>
      <c r="V15" s="15"/>
      <c r="W15" s="16" t="b">
        <v>1</v>
      </c>
    </row>
    <row r="16" ht="22.5" customHeight="1">
      <c r="A16" s="10" t="s">
        <v>107</v>
      </c>
      <c r="B16" s="11">
        <v>2022.0</v>
      </c>
      <c r="C16" s="12">
        <v>44798.0</v>
      </c>
      <c r="D16" s="12">
        <v>44806.0</v>
      </c>
      <c r="E16" s="10" t="s">
        <v>108</v>
      </c>
      <c r="F16" s="10" t="s">
        <v>111</v>
      </c>
      <c r="G16" s="10" t="s">
        <v>113</v>
      </c>
      <c r="H16" s="11">
        <v>110.0</v>
      </c>
      <c r="I16" s="14"/>
      <c r="J16" s="14"/>
      <c r="K16" s="11">
        <v>0.0</v>
      </c>
      <c r="L16" s="11">
        <v>500.0</v>
      </c>
      <c r="M16" s="14">
        <f t="shared" si="5"/>
        <v>8</v>
      </c>
      <c r="N16" s="10" t="s">
        <v>114</v>
      </c>
      <c r="O16" s="10" t="s">
        <v>13</v>
      </c>
      <c r="P16" s="10" t="s">
        <v>101</v>
      </c>
      <c r="Q16" s="13" t="s">
        <v>90</v>
      </c>
      <c r="U16" s="14">
        <f t="shared" si="1"/>
        <v>0</v>
      </c>
      <c r="V16" s="15"/>
      <c r="W16" s="16" t="b">
        <v>1</v>
      </c>
      <c r="AA16" s="1" t="s">
        <v>66</v>
      </c>
    </row>
    <row r="17" ht="22.5" customHeight="1">
      <c r="A17" s="10" t="s">
        <v>115</v>
      </c>
      <c r="B17" s="11">
        <v>2023.0</v>
      </c>
      <c r="C17" s="12">
        <v>45122.0</v>
      </c>
      <c r="D17" s="12">
        <v>45129.0</v>
      </c>
      <c r="E17" s="10" t="s">
        <v>116</v>
      </c>
      <c r="F17" s="10" t="s">
        <v>117</v>
      </c>
      <c r="G17" s="10" t="s">
        <v>118</v>
      </c>
      <c r="H17" s="11">
        <f t="shared" ref="H17:H40" si="6">I17+J17</f>
        <v>78</v>
      </c>
      <c r="I17" s="11">
        <v>22.5</v>
      </c>
      <c r="J17" s="11">
        <v>55.5</v>
      </c>
      <c r="K17" s="11">
        <v>0.0</v>
      </c>
      <c r="L17" s="11">
        <v>242.0</v>
      </c>
      <c r="M17" s="14">
        <f t="shared" si="5"/>
        <v>7</v>
      </c>
      <c r="N17" s="10" t="s">
        <v>105</v>
      </c>
      <c r="O17" s="10" t="s">
        <v>24</v>
      </c>
      <c r="P17" s="10" t="s">
        <v>101</v>
      </c>
      <c r="Q17" s="13" t="s">
        <v>90</v>
      </c>
      <c r="U17" s="14">
        <f t="shared" si="1"/>
        <v>0</v>
      </c>
      <c r="V17" s="15"/>
      <c r="W17" s="16" t="b">
        <v>1</v>
      </c>
    </row>
    <row r="18" ht="22.5" customHeight="1">
      <c r="A18" s="10" t="s">
        <v>115</v>
      </c>
      <c r="B18" s="11">
        <v>2023.0</v>
      </c>
      <c r="C18" s="12">
        <v>45186.0</v>
      </c>
      <c r="D18" s="12">
        <v>45194.0</v>
      </c>
      <c r="E18" s="10" t="s">
        <v>119</v>
      </c>
      <c r="F18" s="10" t="s">
        <v>120</v>
      </c>
      <c r="G18" s="10" t="s">
        <v>72</v>
      </c>
      <c r="H18" s="11">
        <f t="shared" si="6"/>
        <v>94</v>
      </c>
      <c r="I18" s="11">
        <v>51.5</v>
      </c>
      <c r="J18" s="11">
        <v>42.5</v>
      </c>
      <c r="K18" s="11">
        <v>0.0</v>
      </c>
      <c r="L18" s="11">
        <v>433.0</v>
      </c>
      <c r="M18" s="14">
        <f t="shared" si="5"/>
        <v>8</v>
      </c>
      <c r="N18" s="10" t="s">
        <v>112</v>
      </c>
      <c r="O18" s="10" t="s">
        <v>29</v>
      </c>
      <c r="P18" s="10" t="s">
        <v>101</v>
      </c>
      <c r="Q18" s="13" t="s">
        <v>90</v>
      </c>
      <c r="R18" s="10">
        <v>720.0</v>
      </c>
      <c r="S18" s="10">
        <v>500.0</v>
      </c>
      <c r="T18" s="10">
        <v>700.0</v>
      </c>
      <c r="U18" s="14">
        <f t="shared" si="1"/>
        <v>1920</v>
      </c>
      <c r="V18" s="15">
        <f t="shared" ref="V18:V73" si="7">U18/H18</f>
        <v>20.42553191</v>
      </c>
      <c r="W18" s="16" t="b">
        <v>0</v>
      </c>
    </row>
    <row r="19" ht="22.5" customHeight="1">
      <c r="A19" s="10" t="s">
        <v>121</v>
      </c>
      <c r="B19" s="11">
        <v>2024.0</v>
      </c>
      <c r="C19" s="12">
        <v>45326.0</v>
      </c>
      <c r="D19" s="12">
        <v>45333.0</v>
      </c>
      <c r="E19" s="10" t="s">
        <v>108</v>
      </c>
      <c r="F19" s="10" t="s">
        <v>109</v>
      </c>
      <c r="G19" s="10" t="s">
        <v>109</v>
      </c>
      <c r="H19" s="11">
        <f t="shared" si="6"/>
        <v>102</v>
      </c>
      <c r="I19" s="11">
        <v>2.0</v>
      </c>
      <c r="J19" s="11">
        <v>100.0</v>
      </c>
      <c r="K19" s="11">
        <v>0.0</v>
      </c>
      <c r="L19" s="11">
        <v>432.0</v>
      </c>
      <c r="M19" s="14">
        <f t="shared" si="5"/>
        <v>7</v>
      </c>
      <c r="N19" s="10" t="s">
        <v>59</v>
      </c>
      <c r="O19" s="10" t="s">
        <v>30</v>
      </c>
      <c r="P19" s="10" t="s">
        <v>122</v>
      </c>
      <c r="Q19" s="13" t="s">
        <v>90</v>
      </c>
      <c r="R19" s="10">
        <v>4800.0</v>
      </c>
      <c r="S19" s="10">
        <v>1000.0</v>
      </c>
      <c r="T19" s="10">
        <v>1000.0</v>
      </c>
      <c r="U19" s="14">
        <f t="shared" si="1"/>
        <v>6800</v>
      </c>
      <c r="V19" s="15">
        <f t="shared" si="7"/>
        <v>66.66666667</v>
      </c>
      <c r="W19" s="16" t="b">
        <v>1</v>
      </c>
    </row>
    <row r="20" ht="22.5" customHeight="1">
      <c r="A20" s="10" t="s">
        <v>123</v>
      </c>
      <c r="B20" s="11">
        <v>2024.0</v>
      </c>
      <c r="C20" s="12">
        <v>45514.0</v>
      </c>
      <c r="D20" s="12">
        <v>45521.0</v>
      </c>
      <c r="E20" s="10" t="s">
        <v>124</v>
      </c>
      <c r="F20" s="10" t="s">
        <v>125</v>
      </c>
      <c r="G20" s="10" t="s">
        <v>126</v>
      </c>
      <c r="H20" s="11">
        <f t="shared" si="6"/>
        <v>60</v>
      </c>
      <c r="I20" s="11">
        <v>17.0</v>
      </c>
      <c r="J20" s="11">
        <v>43.0</v>
      </c>
      <c r="K20" s="11">
        <v>0.0</v>
      </c>
      <c r="L20" s="11">
        <v>245.0</v>
      </c>
      <c r="M20" s="14">
        <f t="shared" si="5"/>
        <v>7</v>
      </c>
      <c r="N20" s="10" t="s">
        <v>105</v>
      </c>
      <c r="O20" s="10" t="s">
        <v>24</v>
      </c>
      <c r="P20" s="10" t="s">
        <v>101</v>
      </c>
      <c r="Q20" s="13" t="s">
        <v>90</v>
      </c>
      <c r="R20" s="10">
        <v>0.0</v>
      </c>
      <c r="S20" s="10">
        <v>0.0</v>
      </c>
      <c r="T20" s="10">
        <v>2000.0</v>
      </c>
      <c r="U20" s="14">
        <f t="shared" si="1"/>
        <v>2000</v>
      </c>
      <c r="V20" s="15">
        <f t="shared" si="7"/>
        <v>33.33333333</v>
      </c>
      <c r="W20" s="16" t="b">
        <v>1</v>
      </c>
    </row>
    <row r="21" ht="22.5" customHeight="1">
      <c r="A21" s="10" t="s">
        <v>127</v>
      </c>
      <c r="B21" s="11">
        <v>2025.0</v>
      </c>
      <c r="C21" s="12">
        <v>45759.0</v>
      </c>
      <c r="D21" s="12">
        <v>45770.0</v>
      </c>
      <c r="E21" s="10" t="s">
        <v>128</v>
      </c>
      <c r="F21" s="10" t="s">
        <v>129</v>
      </c>
      <c r="G21" s="10" t="s">
        <v>129</v>
      </c>
      <c r="H21" s="11">
        <f t="shared" si="6"/>
        <v>94</v>
      </c>
      <c r="I21" s="11">
        <v>16.0</v>
      </c>
      <c r="J21" s="11">
        <v>78.0</v>
      </c>
      <c r="K21" s="11">
        <v>0.0</v>
      </c>
      <c r="L21" s="11">
        <v>381.0</v>
      </c>
      <c r="M21" s="14">
        <f t="shared" si="5"/>
        <v>11</v>
      </c>
      <c r="N21" s="10" t="s">
        <v>59</v>
      </c>
      <c r="O21" s="10" t="s">
        <v>31</v>
      </c>
      <c r="P21" s="10" t="s">
        <v>130</v>
      </c>
      <c r="Q21" s="13" t="s">
        <v>90</v>
      </c>
      <c r="R21" s="10">
        <v>15000.0</v>
      </c>
      <c r="S21" s="10">
        <v>0.0</v>
      </c>
      <c r="T21" s="10">
        <v>6000.0</v>
      </c>
      <c r="U21" s="14">
        <f t="shared" si="1"/>
        <v>21000</v>
      </c>
      <c r="V21" s="15">
        <f t="shared" si="7"/>
        <v>223.4042553</v>
      </c>
      <c r="W21" s="16" t="b">
        <v>1</v>
      </c>
    </row>
    <row r="22" ht="22.5" customHeight="1">
      <c r="A22" s="10" t="s">
        <v>131</v>
      </c>
      <c r="B22" s="11">
        <v>2025.0</v>
      </c>
      <c r="C22" s="12">
        <v>45848.0</v>
      </c>
      <c r="D22" s="12">
        <v>45857.0</v>
      </c>
      <c r="E22" s="10" t="s">
        <v>132</v>
      </c>
      <c r="F22" s="10" t="s">
        <v>133</v>
      </c>
      <c r="G22" s="10" t="s">
        <v>134</v>
      </c>
      <c r="H22" s="11">
        <f t="shared" si="6"/>
        <v>120</v>
      </c>
      <c r="I22" s="11">
        <v>71.5</v>
      </c>
      <c r="J22" s="11">
        <v>48.5</v>
      </c>
      <c r="K22" s="11">
        <v>0.0</v>
      </c>
      <c r="L22" s="11">
        <v>516.0</v>
      </c>
      <c r="M22" s="14">
        <f t="shared" si="5"/>
        <v>9</v>
      </c>
      <c r="N22" s="10" t="s">
        <v>105</v>
      </c>
      <c r="O22" s="10" t="s">
        <v>24</v>
      </c>
      <c r="P22" s="10" t="s">
        <v>101</v>
      </c>
      <c r="Q22" s="13" t="s">
        <v>90</v>
      </c>
      <c r="R22" s="10">
        <v>0.0</v>
      </c>
      <c r="S22" s="10">
        <v>0.0</v>
      </c>
      <c r="T22" s="10">
        <v>3000.0</v>
      </c>
      <c r="U22" s="14">
        <f t="shared" si="1"/>
        <v>3000</v>
      </c>
      <c r="V22" s="15">
        <f t="shared" si="7"/>
        <v>25</v>
      </c>
      <c r="W22" s="16" t="b">
        <v>1</v>
      </c>
    </row>
    <row r="23" ht="22.5" customHeight="1">
      <c r="B23" s="14"/>
      <c r="C23" s="17"/>
      <c r="D23" s="17"/>
      <c r="H23" s="11">
        <f t="shared" si="6"/>
        <v>0</v>
      </c>
      <c r="I23" s="14"/>
      <c r="J23" s="14"/>
      <c r="K23" s="14"/>
      <c r="L23" s="14"/>
      <c r="M23" s="14">
        <f t="shared" si="5"/>
        <v>0</v>
      </c>
      <c r="Q23" s="29"/>
      <c r="U23" s="14">
        <f t="shared" si="1"/>
        <v>0</v>
      </c>
      <c r="V23" s="15" t="str">
        <f t="shared" si="7"/>
        <v>#DIV/0!</v>
      </c>
      <c r="W23" s="16" t="b">
        <v>0</v>
      </c>
    </row>
    <row r="24" ht="22.5" customHeight="1">
      <c r="B24" s="14"/>
      <c r="C24" s="17"/>
      <c r="D24" s="17"/>
      <c r="H24" s="11">
        <f t="shared" si="6"/>
        <v>0</v>
      </c>
      <c r="I24" s="14"/>
      <c r="J24" s="14"/>
      <c r="K24" s="14"/>
      <c r="L24" s="14"/>
      <c r="M24" s="14">
        <f t="shared" si="5"/>
        <v>0</v>
      </c>
      <c r="Q24" s="29"/>
      <c r="U24" s="14">
        <f t="shared" si="1"/>
        <v>0</v>
      </c>
      <c r="V24" s="15" t="str">
        <f t="shared" si="7"/>
        <v>#DIV/0!</v>
      </c>
      <c r="W24" s="16" t="b">
        <v>0</v>
      </c>
    </row>
    <row r="25" ht="22.5" customHeight="1">
      <c r="B25" s="14"/>
      <c r="C25" s="17"/>
      <c r="D25" s="17"/>
      <c r="H25" s="11">
        <f t="shared" si="6"/>
        <v>0</v>
      </c>
      <c r="I25" s="14"/>
      <c r="J25" s="14"/>
      <c r="K25" s="14"/>
      <c r="L25" s="14"/>
      <c r="M25" s="14">
        <f t="shared" si="5"/>
        <v>0</v>
      </c>
      <c r="Q25" s="29"/>
      <c r="U25" s="14">
        <f t="shared" si="1"/>
        <v>0</v>
      </c>
      <c r="V25" s="15" t="str">
        <f t="shared" si="7"/>
        <v>#DIV/0!</v>
      </c>
      <c r="W25" s="16" t="b">
        <v>0</v>
      </c>
    </row>
    <row r="26" ht="22.5" customHeight="1">
      <c r="B26" s="14"/>
      <c r="C26" s="17"/>
      <c r="D26" s="17"/>
      <c r="H26" s="11">
        <f t="shared" si="6"/>
        <v>0</v>
      </c>
      <c r="I26" s="14"/>
      <c r="J26" s="14"/>
      <c r="K26" s="14"/>
      <c r="L26" s="14"/>
      <c r="M26" s="14">
        <f t="shared" si="5"/>
        <v>0</v>
      </c>
      <c r="Q26" s="29"/>
      <c r="U26" s="14">
        <f t="shared" si="1"/>
        <v>0</v>
      </c>
      <c r="V26" s="15" t="str">
        <f t="shared" si="7"/>
        <v>#DIV/0!</v>
      </c>
      <c r="W26" s="16" t="b">
        <v>0</v>
      </c>
    </row>
    <row r="27" ht="22.5" customHeight="1">
      <c r="B27" s="14"/>
      <c r="C27" s="17"/>
      <c r="D27" s="17"/>
      <c r="H27" s="11">
        <f t="shared" si="6"/>
        <v>0</v>
      </c>
      <c r="I27" s="14"/>
      <c r="J27" s="14"/>
      <c r="K27" s="14"/>
      <c r="L27" s="14"/>
      <c r="M27" s="14">
        <f t="shared" si="5"/>
        <v>0</v>
      </c>
      <c r="Q27" s="29"/>
      <c r="U27" s="14">
        <f t="shared" si="1"/>
        <v>0</v>
      </c>
      <c r="V27" s="15" t="str">
        <f t="shared" si="7"/>
        <v>#DIV/0!</v>
      </c>
      <c r="W27" s="16" t="b">
        <v>0</v>
      </c>
    </row>
    <row r="28" ht="22.5" customHeight="1">
      <c r="B28" s="14"/>
      <c r="C28" s="17"/>
      <c r="D28" s="17"/>
      <c r="H28" s="11">
        <f t="shared" si="6"/>
        <v>0</v>
      </c>
      <c r="I28" s="14"/>
      <c r="J28" s="14"/>
      <c r="K28" s="14"/>
      <c r="L28" s="14"/>
      <c r="M28" s="14">
        <f t="shared" si="5"/>
        <v>0</v>
      </c>
      <c r="Q28" s="29"/>
      <c r="U28" s="14">
        <f t="shared" si="1"/>
        <v>0</v>
      </c>
      <c r="V28" s="15" t="str">
        <f t="shared" si="7"/>
        <v>#DIV/0!</v>
      </c>
      <c r="W28" s="16" t="b">
        <v>0</v>
      </c>
    </row>
    <row r="29" ht="22.5" customHeight="1">
      <c r="B29" s="14"/>
      <c r="C29" s="17"/>
      <c r="D29" s="17"/>
      <c r="H29" s="11">
        <f t="shared" si="6"/>
        <v>0</v>
      </c>
      <c r="I29" s="14"/>
      <c r="J29" s="14"/>
      <c r="K29" s="14"/>
      <c r="L29" s="14"/>
      <c r="M29" s="14">
        <f t="shared" si="5"/>
        <v>0</v>
      </c>
      <c r="Q29" s="29"/>
      <c r="U29" s="14">
        <f t="shared" si="1"/>
        <v>0</v>
      </c>
      <c r="V29" s="15" t="str">
        <f t="shared" si="7"/>
        <v>#DIV/0!</v>
      </c>
      <c r="W29" s="16" t="b">
        <v>0</v>
      </c>
    </row>
    <row r="30" ht="22.5" customHeight="1">
      <c r="B30" s="14"/>
      <c r="C30" s="17"/>
      <c r="D30" s="17"/>
      <c r="H30" s="11">
        <f t="shared" si="6"/>
        <v>0</v>
      </c>
      <c r="I30" s="14"/>
      <c r="J30" s="14"/>
      <c r="K30" s="14"/>
      <c r="L30" s="14"/>
      <c r="M30" s="14">
        <f t="shared" si="5"/>
        <v>0</v>
      </c>
      <c r="Q30" s="29"/>
      <c r="U30" s="14">
        <f t="shared" si="1"/>
        <v>0</v>
      </c>
      <c r="V30" s="15" t="str">
        <f t="shared" si="7"/>
        <v>#DIV/0!</v>
      </c>
      <c r="W30" s="16" t="b">
        <v>0</v>
      </c>
    </row>
    <row r="31" ht="22.5" customHeight="1">
      <c r="B31" s="14"/>
      <c r="C31" s="17"/>
      <c r="D31" s="17"/>
      <c r="H31" s="11">
        <f t="shared" si="6"/>
        <v>0</v>
      </c>
      <c r="I31" s="14"/>
      <c r="J31" s="14"/>
      <c r="K31" s="14"/>
      <c r="L31" s="14"/>
      <c r="M31" s="14">
        <f t="shared" si="5"/>
        <v>0</v>
      </c>
      <c r="Q31" s="29"/>
      <c r="U31" s="14">
        <f t="shared" si="1"/>
        <v>0</v>
      </c>
      <c r="V31" s="15" t="str">
        <f t="shared" si="7"/>
        <v>#DIV/0!</v>
      </c>
      <c r="W31" s="16" t="b">
        <v>0</v>
      </c>
    </row>
    <row r="32" ht="22.5" customHeight="1">
      <c r="B32" s="14"/>
      <c r="C32" s="17"/>
      <c r="D32" s="17"/>
      <c r="H32" s="11">
        <f t="shared" si="6"/>
        <v>0</v>
      </c>
      <c r="I32" s="14"/>
      <c r="J32" s="14"/>
      <c r="K32" s="14"/>
      <c r="L32" s="14"/>
      <c r="M32" s="14">
        <f t="shared" si="5"/>
        <v>0</v>
      </c>
      <c r="Q32" s="29"/>
      <c r="U32" s="14">
        <f t="shared" si="1"/>
        <v>0</v>
      </c>
      <c r="V32" s="15" t="str">
        <f t="shared" si="7"/>
        <v>#DIV/0!</v>
      </c>
      <c r="W32" s="16" t="b">
        <v>0</v>
      </c>
    </row>
    <row r="33" ht="22.5" customHeight="1">
      <c r="B33" s="14"/>
      <c r="C33" s="17"/>
      <c r="D33" s="17"/>
      <c r="H33" s="11">
        <f t="shared" si="6"/>
        <v>0</v>
      </c>
      <c r="I33" s="14"/>
      <c r="J33" s="14"/>
      <c r="K33" s="14"/>
      <c r="L33" s="14"/>
      <c r="M33" s="14">
        <f t="shared" si="5"/>
        <v>0</v>
      </c>
      <c r="Q33" s="29"/>
      <c r="U33" s="14">
        <f t="shared" si="1"/>
        <v>0</v>
      </c>
      <c r="V33" s="15" t="str">
        <f t="shared" si="7"/>
        <v>#DIV/0!</v>
      </c>
      <c r="W33" s="16" t="b">
        <v>0</v>
      </c>
    </row>
    <row r="34" ht="22.5" customHeight="1">
      <c r="B34" s="14"/>
      <c r="C34" s="17"/>
      <c r="D34" s="17"/>
      <c r="H34" s="11">
        <f t="shared" si="6"/>
        <v>0</v>
      </c>
      <c r="I34" s="14"/>
      <c r="J34" s="14"/>
      <c r="K34" s="14"/>
      <c r="L34" s="14"/>
      <c r="M34" s="14">
        <f t="shared" si="5"/>
        <v>0</v>
      </c>
      <c r="Q34" s="29"/>
      <c r="U34" s="14">
        <f t="shared" si="1"/>
        <v>0</v>
      </c>
      <c r="V34" s="15" t="str">
        <f t="shared" si="7"/>
        <v>#DIV/0!</v>
      </c>
      <c r="W34" s="16" t="b">
        <v>0</v>
      </c>
    </row>
    <row r="35" ht="22.5" customHeight="1">
      <c r="B35" s="14"/>
      <c r="C35" s="17"/>
      <c r="D35" s="17"/>
      <c r="H35" s="11">
        <f t="shared" si="6"/>
        <v>0</v>
      </c>
      <c r="I35" s="14"/>
      <c r="J35" s="14"/>
      <c r="K35" s="14"/>
      <c r="L35" s="14"/>
      <c r="M35" s="14">
        <f t="shared" si="5"/>
        <v>0</v>
      </c>
      <c r="Q35" s="29"/>
      <c r="U35" s="14">
        <f t="shared" si="1"/>
        <v>0</v>
      </c>
      <c r="V35" s="15" t="str">
        <f t="shared" si="7"/>
        <v>#DIV/0!</v>
      </c>
      <c r="W35" s="16" t="b">
        <v>0</v>
      </c>
    </row>
    <row r="36" ht="22.5" customHeight="1">
      <c r="B36" s="14"/>
      <c r="C36" s="17"/>
      <c r="D36" s="17"/>
      <c r="H36" s="11">
        <f t="shared" si="6"/>
        <v>0</v>
      </c>
      <c r="I36" s="14"/>
      <c r="J36" s="14"/>
      <c r="K36" s="14"/>
      <c r="L36" s="14"/>
      <c r="M36" s="14">
        <f t="shared" si="5"/>
        <v>0</v>
      </c>
      <c r="Q36" s="29"/>
      <c r="U36" s="14">
        <f t="shared" si="1"/>
        <v>0</v>
      </c>
      <c r="V36" s="15" t="str">
        <f t="shared" si="7"/>
        <v>#DIV/0!</v>
      </c>
      <c r="W36" s="16" t="b">
        <v>0</v>
      </c>
    </row>
    <row r="37" ht="22.5" customHeight="1">
      <c r="B37" s="14"/>
      <c r="C37" s="17"/>
      <c r="D37" s="17"/>
      <c r="H37" s="11">
        <f t="shared" si="6"/>
        <v>0</v>
      </c>
      <c r="I37" s="14"/>
      <c r="J37" s="14"/>
      <c r="K37" s="14"/>
      <c r="L37" s="14"/>
      <c r="M37" s="14">
        <f t="shared" si="5"/>
        <v>0</v>
      </c>
      <c r="Q37" s="29"/>
      <c r="U37" s="14">
        <f t="shared" si="1"/>
        <v>0</v>
      </c>
      <c r="V37" s="15" t="str">
        <f t="shared" si="7"/>
        <v>#DIV/0!</v>
      </c>
      <c r="W37" s="16" t="b">
        <v>0</v>
      </c>
    </row>
    <row r="38" ht="22.5" customHeight="1">
      <c r="B38" s="14"/>
      <c r="C38" s="17"/>
      <c r="D38" s="17"/>
      <c r="H38" s="11">
        <f t="shared" si="6"/>
        <v>0</v>
      </c>
      <c r="I38" s="14"/>
      <c r="J38" s="14"/>
      <c r="K38" s="14"/>
      <c r="L38" s="14"/>
      <c r="M38" s="14">
        <f t="shared" si="5"/>
        <v>0</v>
      </c>
      <c r="Q38" s="29"/>
      <c r="U38" s="14">
        <f t="shared" si="1"/>
        <v>0</v>
      </c>
      <c r="V38" s="15" t="str">
        <f t="shared" si="7"/>
        <v>#DIV/0!</v>
      </c>
      <c r="W38" s="16" t="b">
        <v>0</v>
      </c>
    </row>
    <row r="39" ht="22.5" customHeight="1">
      <c r="B39" s="14"/>
      <c r="C39" s="17"/>
      <c r="D39" s="17"/>
      <c r="H39" s="11">
        <f t="shared" si="6"/>
        <v>0</v>
      </c>
      <c r="I39" s="14"/>
      <c r="J39" s="14"/>
      <c r="K39" s="14"/>
      <c r="L39" s="14"/>
      <c r="M39" s="14">
        <f t="shared" si="5"/>
        <v>0</v>
      </c>
      <c r="Q39" s="29"/>
      <c r="U39" s="14">
        <f t="shared" si="1"/>
        <v>0</v>
      </c>
      <c r="V39" s="15" t="str">
        <f t="shared" si="7"/>
        <v>#DIV/0!</v>
      </c>
      <c r="W39" s="16" t="b">
        <v>0</v>
      </c>
    </row>
    <row r="40" ht="22.5" customHeight="1">
      <c r="B40" s="14"/>
      <c r="C40" s="17"/>
      <c r="D40" s="17"/>
      <c r="H40" s="11">
        <f t="shared" si="6"/>
        <v>0</v>
      </c>
      <c r="I40" s="14"/>
      <c r="J40" s="14"/>
      <c r="K40" s="14"/>
      <c r="L40" s="14"/>
      <c r="M40" s="14">
        <f t="shared" si="5"/>
        <v>0</v>
      </c>
      <c r="Q40" s="29"/>
      <c r="U40" s="14">
        <f t="shared" si="1"/>
        <v>0</v>
      </c>
      <c r="V40" s="15" t="str">
        <f t="shared" si="7"/>
        <v>#DIV/0!</v>
      </c>
      <c r="W40" s="16" t="b">
        <v>0</v>
      </c>
    </row>
    <row r="41" ht="22.5" customHeight="1">
      <c r="B41" s="14"/>
      <c r="C41" s="17"/>
      <c r="D41" s="17"/>
      <c r="H41" s="14"/>
      <c r="I41" s="14"/>
      <c r="J41" s="14"/>
      <c r="K41" s="14"/>
      <c r="L41" s="14"/>
      <c r="M41" s="14">
        <f t="shared" si="5"/>
        <v>0</v>
      </c>
      <c r="Q41" s="29"/>
      <c r="U41" s="14">
        <f t="shared" si="1"/>
        <v>0</v>
      </c>
      <c r="V41" s="15" t="str">
        <f t="shared" si="7"/>
        <v>#DIV/0!</v>
      </c>
      <c r="W41" s="16" t="b">
        <v>0</v>
      </c>
    </row>
    <row r="42" ht="22.5" customHeight="1">
      <c r="B42" s="14"/>
      <c r="C42" s="17"/>
      <c r="D42" s="17"/>
      <c r="H42" s="14"/>
      <c r="I42" s="14"/>
      <c r="J42" s="14"/>
      <c r="K42" s="14"/>
      <c r="L42" s="14"/>
      <c r="M42" s="14">
        <f t="shared" si="5"/>
        <v>0</v>
      </c>
      <c r="Q42" s="29"/>
      <c r="U42" s="14">
        <f t="shared" si="1"/>
        <v>0</v>
      </c>
      <c r="V42" s="15" t="str">
        <f t="shared" si="7"/>
        <v>#DIV/0!</v>
      </c>
      <c r="W42" s="16" t="b">
        <v>0</v>
      </c>
    </row>
    <row r="43" ht="22.5" customHeight="1">
      <c r="B43" s="14"/>
      <c r="C43" s="17"/>
      <c r="D43" s="17"/>
      <c r="H43" s="14"/>
      <c r="I43" s="14"/>
      <c r="J43" s="14"/>
      <c r="K43" s="14"/>
      <c r="L43" s="14"/>
      <c r="M43" s="14">
        <f t="shared" si="5"/>
        <v>0</v>
      </c>
      <c r="Q43" s="29"/>
      <c r="U43" s="14">
        <f t="shared" si="1"/>
        <v>0</v>
      </c>
      <c r="V43" s="15" t="str">
        <f t="shared" si="7"/>
        <v>#DIV/0!</v>
      </c>
      <c r="W43" s="16" t="b">
        <v>0</v>
      </c>
    </row>
    <row r="44" ht="22.5" customHeight="1">
      <c r="B44" s="14"/>
      <c r="C44" s="17"/>
      <c r="D44" s="17"/>
      <c r="H44" s="14"/>
      <c r="I44" s="14"/>
      <c r="J44" s="14"/>
      <c r="K44" s="14"/>
      <c r="L44" s="14"/>
      <c r="M44" s="14">
        <f t="shared" si="5"/>
        <v>0</v>
      </c>
      <c r="Q44" s="29"/>
      <c r="U44" s="14">
        <f t="shared" si="1"/>
        <v>0</v>
      </c>
      <c r="V44" s="15" t="str">
        <f t="shared" si="7"/>
        <v>#DIV/0!</v>
      </c>
      <c r="W44" s="16" t="b">
        <v>0</v>
      </c>
    </row>
    <row r="45" ht="22.5" customHeight="1">
      <c r="B45" s="14"/>
      <c r="C45" s="17"/>
      <c r="D45" s="17"/>
      <c r="H45" s="14"/>
      <c r="I45" s="14"/>
      <c r="J45" s="14"/>
      <c r="K45" s="14"/>
      <c r="L45" s="14"/>
      <c r="M45" s="14">
        <f t="shared" si="5"/>
        <v>0</v>
      </c>
      <c r="Q45" s="29"/>
      <c r="U45" s="14">
        <f t="shared" si="1"/>
        <v>0</v>
      </c>
      <c r="V45" s="15" t="str">
        <f t="shared" si="7"/>
        <v>#DIV/0!</v>
      </c>
      <c r="W45" s="16" t="b">
        <v>0</v>
      </c>
    </row>
    <row r="46" ht="22.5" customHeight="1">
      <c r="B46" s="14"/>
      <c r="C46" s="17"/>
      <c r="D46" s="17"/>
      <c r="H46" s="14"/>
      <c r="I46" s="14"/>
      <c r="J46" s="14"/>
      <c r="K46" s="14"/>
      <c r="L46" s="14"/>
      <c r="M46" s="14">
        <f t="shared" si="5"/>
        <v>0</v>
      </c>
      <c r="Q46" s="29"/>
      <c r="U46" s="14">
        <f t="shared" si="1"/>
        <v>0</v>
      </c>
      <c r="V46" s="15" t="str">
        <f t="shared" si="7"/>
        <v>#DIV/0!</v>
      </c>
      <c r="W46" s="16" t="b">
        <v>0</v>
      </c>
    </row>
    <row r="47" ht="22.5" customHeight="1">
      <c r="B47" s="14"/>
      <c r="C47" s="17"/>
      <c r="D47" s="17"/>
      <c r="H47" s="14"/>
      <c r="I47" s="14"/>
      <c r="J47" s="14"/>
      <c r="K47" s="14"/>
      <c r="L47" s="14"/>
      <c r="M47" s="14">
        <f t="shared" si="5"/>
        <v>0</v>
      </c>
      <c r="Q47" s="29"/>
      <c r="U47" s="14">
        <f t="shared" si="1"/>
        <v>0</v>
      </c>
      <c r="V47" s="15" t="str">
        <f t="shared" si="7"/>
        <v>#DIV/0!</v>
      </c>
      <c r="W47" s="16" t="b">
        <v>0</v>
      </c>
    </row>
    <row r="48" ht="22.5" customHeight="1">
      <c r="B48" s="14"/>
      <c r="C48" s="17"/>
      <c r="D48" s="17"/>
      <c r="H48" s="14"/>
      <c r="I48" s="14"/>
      <c r="J48" s="14"/>
      <c r="K48" s="14"/>
      <c r="L48" s="14"/>
      <c r="M48" s="14">
        <f t="shared" si="5"/>
        <v>0</v>
      </c>
      <c r="Q48" s="29"/>
      <c r="U48" s="14">
        <f t="shared" si="1"/>
        <v>0</v>
      </c>
      <c r="V48" s="15" t="str">
        <f t="shared" si="7"/>
        <v>#DIV/0!</v>
      </c>
      <c r="W48" s="16" t="b">
        <v>0</v>
      </c>
    </row>
    <row r="49" ht="22.5" customHeight="1">
      <c r="B49" s="14"/>
      <c r="C49" s="17"/>
      <c r="D49" s="17"/>
      <c r="H49" s="14"/>
      <c r="I49" s="14"/>
      <c r="J49" s="14"/>
      <c r="K49" s="14"/>
      <c r="L49" s="14"/>
      <c r="M49" s="14">
        <f t="shared" si="5"/>
        <v>0</v>
      </c>
      <c r="Q49" s="29"/>
      <c r="U49" s="14">
        <f t="shared" si="1"/>
        <v>0</v>
      </c>
      <c r="V49" s="15" t="str">
        <f t="shared" si="7"/>
        <v>#DIV/0!</v>
      </c>
      <c r="W49" s="16" t="b">
        <v>0</v>
      </c>
    </row>
    <row r="50" ht="22.5" customHeight="1">
      <c r="B50" s="14"/>
      <c r="C50" s="17"/>
      <c r="D50" s="17"/>
      <c r="H50" s="14"/>
      <c r="I50" s="14"/>
      <c r="J50" s="14"/>
      <c r="K50" s="14"/>
      <c r="L50" s="14"/>
      <c r="M50" s="14">
        <f t="shared" si="5"/>
        <v>0</v>
      </c>
      <c r="Q50" s="29"/>
      <c r="U50" s="14">
        <f t="shared" si="1"/>
        <v>0</v>
      </c>
      <c r="V50" s="15" t="str">
        <f t="shared" si="7"/>
        <v>#DIV/0!</v>
      </c>
      <c r="W50" s="16" t="b">
        <v>0</v>
      </c>
    </row>
    <row r="51" ht="22.5" customHeight="1">
      <c r="B51" s="14"/>
      <c r="C51" s="17"/>
      <c r="D51" s="17"/>
      <c r="H51" s="14"/>
      <c r="I51" s="14"/>
      <c r="J51" s="14"/>
      <c r="K51" s="14"/>
      <c r="L51" s="14"/>
      <c r="M51" s="14">
        <f t="shared" si="5"/>
        <v>0</v>
      </c>
      <c r="Q51" s="29"/>
      <c r="U51" s="14">
        <f t="shared" si="1"/>
        <v>0</v>
      </c>
      <c r="V51" s="15" t="str">
        <f t="shared" si="7"/>
        <v>#DIV/0!</v>
      </c>
      <c r="W51" s="16" t="b">
        <v>0</v>
      </c>
    </row>
    <row r="52" ht="22.5" customHeight="1">
      <c r="B52" s="14"/>
      <c r="C52" s="17"/>
      <c r="D52" s="17"/>
      <c r="H52" s="14"/>
      <c r="I52" s="14"/>
      <c r="J52" s="14"/>
      <c r="K52" s="14"/>
      <c r="L52" s="14"/>
      <c r="M52" s="14">
        <f t="shared" si="5"/>
        <v>0</v>
      </c>
      <c r="Q52" s="29"/>
      <c r="U52" s="14">
        <f t="shared" si="1"/>
        <v>0</v>
      </c>
      <c r="V52" s="15" t="str">
        <f t="shared" si="7"/>
        <v>#DIV/0!</v>
      </c>
      <c r="W52" s="16" t="b">
        <v>0</v>
      </c>
    </row>
    <row r="53" ht="22.5" customHeight="1">
      <c r="B53" s="14"/>
      <c r="C53" s="17"/>
      <c r="D53" s="17"/>
      <c r="H53" s="14"/>
      <c r="I53" s="14"/>
      <c r="J53" s="14"/>
      <c r="K53" s="14"/>
      <c r="L53" s="14"/>
      <c r="M53" s="14">
        <f t="shared" si="5"/>
        <v>0</v>
      </c>
      <c r="Q53" s="29"/>
      <c r="U53" s="14">
        <f t="shared" si="1"/>
        <v>0</v>
      </c>
      <c r="V53" s="15" t="str">
        <f t="shared" si="7"/>
        <v>#DIV/0!</v>
      </c>
      <c r="W53" s="16" t="b">
        <v>0</v>
      </c>
    </row>
    <row r="54" ht="22.5" customHeight="1">
      <c r="B54" s="14"/>
      <c r="C54" s="17"/>
      <c r="D54" s="17"/>
      <c r="H54" s="14"/>
      <c r="I54" s="14"/>
      <c r="J54" s="14"/>
      <c r="K54" s="14"/>
      <c r="L54" s="14"/>
      <c r="M54" s="14">
        <f t="shared" si="5"/>
        <v>0</v>
      </c>
      <c r="Q54" s="29"/>
      <c r="U54" s="14">
        <f t="shared" si="1"/>
        <v>0</v>
      </c>
      <c r="V54" s="15" t="str">
        <f t="shared" si="7"/>
        <v>#DIV/0!</v>
      </c>
      <c r="W54" s="16" t="b">
        <v>0</v>
      </c>
    </row>
    <row r="55" ht="22.5" customHeight="1">
      <c r="B55" s="14"/>
      <c r="C55" s="17"/>
      <c r="D55" s="17"/>
      <c r="H55" s="14"/>
      <c r="I55" s="14"/>
      <c r="J55" s="14"/>
      <c r="K55" s="14"/>
      <c r="L55" s="14"/>
      <c r="M55" s="14">
        <f t="shared" si="5"/>
        <v>0</v>
      </c>
      <c r="Q55" s="29"/>
      <c r="U55" s="14">
        <f t="shared" si="1"/>
        <v>0</v>
      </c>
      <c r="V55" s="15" t="str">
        <f t="shared" si="7"/>
        <v>#DIV/0!</v>
      </c>
      <c r="W55" s="16" t="b">
        <v>0</v>
      </c>
    </row>
    <row r="56" ht="22.5" customHeight="1">
      <c r="B56" s="14"/>
      <c r="C56" s="17"/>
      <c r="D56" s="17"/>
      <c r="H56" s="14"/>
      <c r="I56" s="14"/>
      <c r="J56" s="14"/>
      <c r="K56" s="14"/>
      <c r="L56" s="14"/>
      <c r="M56" s="14"/>
      <c r="Q56" s="29"/>
      <c r="U56" s="14">
        <f t="shared" si="1"/>
        <v>0</v>
      </c>
      <c r="V56" s="15" t="str">
        <f t="shared" si="7"/>
        <v>#DIV/0!</v>
      </c>
      <c r="W56" s="16" t="b">
        <v>0</v>
      </c>
    </row>
    <row r="57" ht="22.5" customHeight="1">
      <c r="B57" s="14"/>
      <c r="C57" s="17"/>
      <c r="D57" s="17"/>
      <c r="H57" s="14"/>
      <c r="I57" s="14"/>
      <c r="J57" s="14"/>
      <c r="K57" s="14"/>
      <c r="L57" s="14"/>
      <c r="M57" s="14"/>
      <c r="Q57" s="29"/>
      <c r="U57" s="14">
        <f t="shared" si="1"/>
        <v>0</v>
      </c>
      <c r="V57" s="15" t="str">
        <f t="shared" si="7"/>
        <v>#DIV/0!</v>
      </c>
      <c r="W57" s="16" t="b">
        <v>0</v>
      </c>
    </row>
    <row r="58" ht="22.5" customHeight="1">
      <c r="B58" s="14"/>
      <c r="C58" s="17"/>
      <c r="D58" s="17"/>
      <c r="H58" s="14"/>
      <c r="I58" s="14"/>
      <c r="J58" s="14"/>
      <c r="K58" s="14"/>
      <c r="L58" s="14"/>
      <c r="M58" s="14"/>
      <c r="Q58" s="29"/>
      <c r="U58" s="14">
        <f t="shared" si="1"/>
        <v>0</v>
      </c>
      <c r="V58" s="15" t="str">
        <f t="shared" si="7"/>
        <v>#DIV/0!</v>
      </c>
      <c r="W58" s="16" t="b">
        <v>0</v>
      </c>
    </row>
    <row r="59" ht="22.5" customHeight="1">
      <c r="B59" s="14"/>
      <c r="C59" s="17"/>
      <c r="D59" s="17"/>
      <c r="H59" s="14"/>
      <c r="I59" s="14"/>
      <c r="J59" s="14"/>
      <c r="K59" s="14"/>
      <c r="L59" s="14"/>
      <c r="M59" s="14"/>
      <c r="Q59" s="29"/>
      <c r="U59" s="14">
        <f t="shared" si="1"/>
        <v>0</v>
      </c>
      <c r="V59" s="15" t="str">
        <f t="shared" si="7"/>
        <v>#DIV/0!</v>
      </c>
      <c r="W59" s="16" t="b">
        <v>0</v>
      </c>
    </row>
    <row r="60" ht="22.5" customHeight="1">
      <c r="B60" s="14"/>
      <c r="C60" s="17"/>
      <c r="D60" s="17"/>
      <c r="H60" s="14"/>
      <c r="I60" s="14"/>
      <c r="J60" s="14"/>
      <c r="K60" s="14"/>
      <c r="L60" s="14"/>
      <c r="M60" s="14"/>
      <c r="Q60" s="29"/>
      <c r="U60" s="14">
        <f t="shared" si="1"/>
        <v>0</v>
      </c>
      <c r="V60" s="15" t="str">
        <f t="shared" si="7"/>
        <v>#DIV/0!</v>
      </c>
      <c r="W60" s="16" t="b">
        <v>0</v>
      </c>
    </row>
    <row r="61" ht="22.5" customHeight="1">
      <c r="B61" s="14"/>
      <c r="C61" s="17"/>
      <c r="D61" s="17"/>
      <c r="H61" s="14"/>
      <c r="I61" s="14"/>
      <c r="J61" s="14"/>
      <c r="K61" s="14"/>
      <c r="L61" s="14"/>
      <c r="M61" s="14"/>
      <c r="Q61" s="29"/>
      <c r="U61" s="14">
        <f t="shared" si="1"/>
        <v>0</v>
      </c>
      <c r="V61" s="15" t="str">
        <f t="shared" si="7"/>
        <v>#DIV/0!</v>
      </c>
      <c r="W61" s="16" t="b">
        <v>0</v>
      </c>
    </row>
    <row r="62" ht="22.5" customHeight="1">
      <c r="B62" s="14"/>
      <c r="C62" s="17"/>
      <c r="D62" s="17"/>
      <c r="H62" s="14"/>
      <c r="I62" s="14"/>
      <c r="J62" s="14"/>
      <c r="K62" s="14"/>
      <c r="L62" s="14"/>
      <c r="M62" s="14"/>
      <c r="Q62" s="29"/>
      <c r="U62" s="14">
        <f t="shared" si="1"/>
        <v>0</v>
      </c>
      <c r="V62" s="15" t="str">
        <f t="shared" si="7"/>
        <v>#DIV/0!</v>
      </c>
      <c r="W62" s="16" t="b">
        <v>0</v>
      </c>
    </row>
    <row r="63" ht="22.5" customHeight="1">
      <c r="B63" s="14"/>
      <c r="C63" s="17"/>
      <c r="D63" s="17"/>
      <c r="H63" s="14"/>
      <c r="I63" s="14"/>
      <c r="J63" s="14"/>
      <c r="K63" s="14"/>
      <c r="L63" s="14"/>
      <c r="M63" s="14"/>
      <c r="Q63" s="29"/>
      <c r="U63" s="14">
        <f t="shared" si="1"/>
        <v>0</v>
      </c>
      <c r="V63" s="15" t="str">
        <f t="shared" si="7"/>
        <v>#DIV/0!</v>
      </c>
      <c r="W63" s="16" t="b">
        <v>0</v>
      </c>
    </row>
    <row r="64" ht="22.5" customHeight="1">
      <c r="B64" s="14"/>
      <c r="C64" s="17"/>
      <c r="D64" s="17"/>
      <c r="H64" s="14"/>
      <c r="I64" s="14"/>
      <c r="J64" s="14"/>
      <c r="K64" s="14"/>
      <c r="L64" s="14"/>
      <c r="M64" s="14"/>
      <c r="Q64" s="29"/>
      <c r="U64" s="14">
        <f t="shared" si="1"/>
        <v>0</v>
      </c>
      <c r="V64" s="15" t="str">
        <f t="shared" si="7"/>
        <v>#DIV/0!</v>
      </c>
      <c r="W64" s="16" t="b">
        <v>0</v>
      </c>
    </row>
    <row r="65" ht="22.5" customHeight="1">
      <c r="B65" s="14"/>
      <c r="C65" s="17"/>
      <c r="D65" s="17"/>
      <c r="H65" s="14"/>
      <c r="I65" s="14"/>
      <c r="J65" s="14"/>
      <c r="K65" s="14"/>
      <c r="L65" s="14"/>
      <c r="M65" s="14"/>
      <c r="Q65" s="29"/>
      <c r="U65" s="14">
        <f t="shared" si="1"/>
        <v>0</v>
      </c>
      <c r="V65" s="15" t="str">
        <f t="shared" si="7"/>
        <v>#DIV/0!</v>
      </c>
      <c r="W65" s="16" t="b">
        <v>0</v>
      </c>
    </row>
    <row r="66" ht="22.5" customHeight="1">
      <c r="B66" s="14"/>
      <c r="C66" s="17"/>
      <c r="D66" s="17"/>
      <c r="H66" s="14"/>
      <c r="I66" s="14"/>
      <c r="J66" s="14"/>
      <c r="K66" s="14"/>
      <c r="L66" s="14"/>
      <c r="M66" s="14"/>
      <c r="Q66" s="29"/>
      <c r="U66" s="14"/>
      <c r="V66" s="15" t="str">
        <f t="shared" si="7"/>
        <v>#DIV/0!</v>
      </c>
      <c r="W66" s="16" t="b">
        <v>0</v>
      </c>
    </row>
    <row r="67" ht="22.5" customHeight="1">
      <c r="B67" s="14"/>
      <c r="C67" s="17"/>
      <c r="D67" s="17"/>
      <c r="H67" s="14"/>
      <c r="I67" s="14"/>
      <c r="J67" s="14"/>
      <c r="K67" s="14"/>
      <c r="L67" s="14"/>
      <c r="M67" s="14"/>
      <c r="Q67" s="29"/>
      <c r="U67" s="14"/>
      <c r="V67" s="15" t="str">
        <f t="shared" si="7"/>
        <v>#DIV/0!</v>
      </c>
      <c r="W67" s="16" t="b">
        <v>0</v>
      </c>
    </row>
    <row r="68" ht="22.5" customHeight="1">
      <c r="B68" s="14"/>
      <c r="C68" s="17"/>
      <c r="D68" s="17"/>
      <c r="H68" s="14"/>
      <c r="I68" s="14"/>
      <c r="J68" s="14"/>
      <c r="K68" s="14"/>
      <c r="L68" s="14"/>
      <c r="M68" s="14"/>
      <c r="Q68" s="29"/>
      <c r="U68" s="14"/>
      <c r="V68" s="15" t="str">
        <f t="shared" si="7"/>
        <v>#DIV/0!</v>
      </c>
      <c r="W68" s="16" t="b">
        <v>0</v>
      </c>
    </row>
    <row r="69" ht="22.5" customHeight="1">
      <c r="B69" s="14"/>
      <c r="C69" s="17"/>
      <c r="D69" s="17"/>
      <c r="H69" s="14"/>
      <c r="I69" s="14"/>
      <c r="J69" s="14"/>
      <c r="K69" s="14"/>
      <c r="L69" s="14"/>
      <c r="M69" s="14"/>
      <c r="Q69" s="29"/>
      <c r="U69" s="14"/>
      <c r="V69" s="15" t="str">
        <f t="shared" si="7"/>
        <v>#DIV/0!</v>
      </c>
      <c r="W69" s="16" t="b">
        <v>0</v>
      </c>
    </row>
    <row r="70" ht="22.5" customHeight="1">
      <c r="B70" s="14"/>
      <c r="C70" s="17"/>
      <c r="D70" s="17"/>
      <c r="H70" s="14"/>
      <c r="I70" s="14"/>
      <c r="J70" s="14"/>
      <c r="K70" s="14"/>
      <c r="L70" s="14"/>
      <c r="M70" s="14"/>
      <c r="Q70" s="29"/>
      <c r="U70" s="14"/>
      <c r="V70" s="15" t="str">
        <f t="shared" si="7"/>
        <v>#DIV/0!</v>
      </c>
      <c r="W70" s="16" t="b">
        <v>0</v>
      </c>
    </row>
    <row r="71" ht="22.5" customHeight="1">
      <c r="B71" s="14"/>
      <c r="C71" s="17"/>
      <c r="D71" s="17"/>
      <c r="H71" s="14"/>
      <c r="I71" s="14"/>
      <c r="J71" s="14"/>
      <c r="K71" s="14"/>
      <c r="L71" s="14"/>
      <c r="M71" s="14"/>
      <c r="Q71" s="29"/>
      <c r="U71" s="14"/>
      <c r="V71" s="15" t="str">
        <f t="shared" si="7"/>
        <v>#DIV/0!</v>
      </c>
      <c r="W71" s="16" t="b">
        <v>0</v>
      </c>
    </row>
    <row r="72" ht="22.5" customHeight="1">
      <c r="B72" s="14"/>
      <c r="C72" s="17"/>
      <c r="D72" s="17"/>
      <c r="H72" s="14"/>
      <c r="I72" s="14"/>
      <c r="J72" s="14"/>
      <c r="K72" s="14"/>
      <c r="L72" s="14"/>
      <c r="M72" s="14"/>
      <c r="Q72" s="29"/>
      <c r="U72" s="14"/>
      <c r="V72" s="15" t="str">
        <f t="shared" si="7"/>
        <v>#DIV/0!</v>
      </c>
      <c r="W72" s="16" t="b">
        <v>0</v>
      </c>
    </row>
    <row r="73" ht="22.5" customHeight="1">
      <c r="B73" s="14"/>
      <c r="C73" s="17"/>
      <c r="D73" s="17"/>
      <c r="H73" s="14"/>
      <c r="I73" s="14"/>
      <c r="J73" s="14"/>
      <c r="K73" s="14"/>
      <c r="L73" s="14"/>
      <c r="M73" s="14"/>
      <c r="Q73" s="29"/>
      <c r="U73" s="14"/>
      <c r="V73" s="15" t="str">
        <f t="shared" si="7"/>
        <v>#DIV/0!</v>
      </c>
      <c r="W73" s="16" t="b">
        <v>0</v>
      </c>
    </row>
    <row r="74">
      <c r="V74" s="30"/>
    </row>
    <row r="75">
      <c r="V75" s="30"/>
    </row>
    <row r="76">
      <c r="V76" s="30"/>
    </row>
    <row r="77">
      <c r="V77" s="30"/>
    </row>
    <row r="78">
      <c r="V78" s="30"/>
    </row>
    <row r="79">
      <c r="V79" s="30"/>
    </row>
    <row r="80">
      <c r="V80" s="30"/>
    </row>
    <row r="81">
      <c r="V81" s="30"/>
    </row>
    <row r="82">
      <c r="V82" s="30"/>
    </row>
    <row r="83">
      <c r="V83" s="30"/>
    </row>
    <row r="84">
      <c r="V84" s="30"/>
    </row>
    <row r="85">
      <c r="V85" s="30"/>
    </row>
    <row r="86">
      <c r="V86" s="30"/>
    </row>
    <row r="87">
      <c r="V87" s="30"/>
    </row>
    <row r="88">
      <c r="V88" s="30"/>
    </row>
    <row r="89">
      <c r="V89" s="30"/>
    </row>
    <row r="90">
      <c r="V90" s="30"/>
    </row>
    <row r="91">
      <c r="V91" s="30"/>
    </row>
    <row r="92">
      <c r="V92" s="30"/>
    </row>
    <row r="93">
      <c r="V93" s="30"/>
    </row>
    <row r="94">
      <c r="V94" s="30"/>
    </row>
    <row r="95">
      <c r="V95" s="30"/>
    </row>
    <row r="96">
      <c r="V96" s="30"/>
    </row>
    <row r="97">
      <c r="V97" s="30"/>
    </row>
    <row r="98">
      <c r="V98" s="30"/>
    </row>
    <row r="99">
      <c r="V99" s="30"/>
    </row>
    <row r="100">
      <c r="V100" s="30"/>
    </row>
    <row r="101">
      <c r="V101" s="30"/>
    </row>
    <row r="102">
      <c r="V102" s="30"/>
    </row>
    <row r="103">
      <c r="V103" s="30"/>
    </row>
    <row r="104">
      <c r="V104" s="30"/>
    </row>
    <row r="105">
      <c r="V105" s="30"/>
    </row>
    <row r="106">
      <c r="V106" s="30"/>
    </row>
    <row r="107">
      <c r="V107" s="30"/>
    </row>
    <row r="108">
      <c r="V108" s="30"/>
    </row>
    <row r="109">
      <c r="V109" s="30"/>
    </row>
    <row r="110">
      <c r="V110" s="30"/>
    </row>
    <row r="111">
      <c r="V111" s="30"/>
    </row>
    <row r="112">
      <c r="V112" s="30"/>
    </row>
    <row r="113">
      <c r="V113" s="30"/>
    </row>
    <row r="114">
      <c r="V114" s="30"/>
    </row>
    <row r="115">
      <c r="V115" s="30"/>
    </row>
    <row r="116">
      <c r="V116" s="30"/>
    </row>
    <row r="117">
      <c r="V117" s="30"/>
    </row>
    <row r="118">
      <c r="V118" s="30"/>
    </row>
    <row r="119">
      <c r="V119" s="30"/>
    </row>
    <row r="120">
      <c r="V120" s="30"/>
    </row>
    <row r="121">
      <c r="V121" s="30"/>
    </row>
    <row r="122">
      <c r="V122" s="30"/>
    </row>
    <row r="123">
      <c r="V123" s="30"/>
    </row>
    <row r="124">
      <c r="V124" s="30"/>
    </row>
    <row r="125">
      <c r="V125" s="30"/>
    </row>
    <row r="126">
      <c r="V126" s="30"/>
    </row>
    <row r="127">
      <c r="V127" s="30"/>
    </row>
    <row r="128">
      <c r="V128" s="30"/>
    </row>
    <row r="129">
      <c r="V129" s="30"/>
    </row>
    <row r="130">
      <c r="V130" s="30"/>
    </row>
    <row r="131">
      <c r="V131" s="30"/>
    </row>
    <row r="132">
      <c r="V132" s="30"/>
    </row>
    <row r="133">
      <c r="V133" s="30"/>
    </row>
    <row r="134">
      <c r="V134" s="30"/>
    </row>
    <row r="135">
      <c r="V135" s="30"/>
    </row>
    <row r="136">
      <c r="V136" s="30"/>
    </row>
    <row r="137">
      <c r="V137" s="30"/>
    </row>
    <row r="138">
      <c r="V138" s="30"/>
    </row>
    <row r="139">
      <c r="V139" s="30"/>
    </row>
    <row r="140">
      <c r="V140" s="30"/>
    </row>
    <row r="141">
      <c r="V141" s="30"/>
    </row>
    <row r="142">
      <c r="V142" s="30"/>
    </row>
    <row r="143">
      <c r="V143" s="30"/>
    </row>
    <row r="144">
      <c r="V144" s="30"/>
    </row>
    <row r="145">
      <c r="V145" s="30"/>
    </row>
    <row r="146">
      <c r="V146" s="30"/>
    </row>
    <row r="147">
      <c r="V147" s="30"/>
    </row>
    <row r="148">
      <c r="V148" s="30"/>
    </row>
    <row r="149">
      <c r="V149" s="30"/>
    </row>
    <row r="150">
      <c r="V150" s="30"/>
    </row>
    <row r="151">
      <c r="V151" s="30"/>
    </row>
    <row r="152">
      <c r="V152" s="30"/>
    </row>
    <row r="153">
      <c r="V153" s="30"/>
    </row>
    <row r="154">
      <c r="V154" s="30"/>
    </row>
    <row r="155">
      <c r="V155" s="30"/>
    </row>
    <row r="156">
      <c r="V156" s="30"/>
    </row>
    <row r="157">
      <c r="V157" s="30"/>
    </row>
    <row r="158">
      <c r="V158" s="30"/>
    </row>
    <row r="159">
      <c r="V159" s="30"/>
    </row>
    <row r="160">
      <c r="V160" s="30"/>
    </row>
    <row r="161">
      <c r="V161" s="30"/>
    </row>
    <row r="162">
      <c r="V162" s="30"/>
    </row>
    <row r="163">
      <c r="V163" s="30"/>
    </row>
    <row r="164">
      <c r="V164" s="30"/>
    </row>
    <row r="165">
      <c r="V165" s="30"/>
    </row>
    <row r="166">
      <c r="V166" s="30"/>
    </row>
    <row r="167">
      <c r="V167" s="30"/>
    </row>
    <row r="168">
      <c r="V168" s="30"/>
    </row>
    <row r="169">
      <c r="V169" s="30"/>
    </row>
    <row r="170">
      <c r="V170" s="30"/>
    </row>
    <row r="171">
      <c r="V171" s="30"/>
    </row>
    <row r="172">
      <c r="V172" s="30"/>
    </row>
    <row r="173">
      <c r="V173" s="30"/>
    </row>
    <row r="174">
      <c r="V174" s="30"/>
    </row>
    <row r="175">
      <c r="V175" s="30"/>
    </row>
    <row r="176">
      <c r="V176" s="30"/>
    </row>
    <row r="177">
      <c r="V177" s="30"/>
    </row>
    <row r="178">
      <c r="V178" s="30"/>
    </row>
    <row r="179">
      <c r="V179" s="30"/>
    </row>
    <row r="180">
      <c r="V180" s="30"/>
    </row>
    <row r="181">
      <c r="V181" s="30"/>
    </row>
    <row r="182">
      <c r="V182" s="30"/>
    </row>
    <row r="183">
      <c r="V183" s="30"/>
    </row>
    <row r="184">
      <c r="V184" s="30"/>
    </row>
    <row r="185">
      <c r="V185" s="30"/>
    </row>
    <row r="186">
      <c r="V186" s="30"/>
    </row>
    <row r="187">
      <c r="V187" s="30"/>
    </row>
    <row r="188">
      <c r="V188" s="30"/>
    </row>
    <row r="189">
      <c r="V189" s="30"/>
    </row>
    <row r="190">
      <c r="V190" s="30"/>
    </row>
    <row r="191">
      <c r="V191" s="30"/>
    </row>
    <row r="192">
      <c r="V192" s="30"/>
    </row>
    <row r="193">
      <c r="V193" s="30"/>
    </row>
    <row r="194">
      <c r="V194" s="30"/>
    </row>
    <row r="195">
      <c r="V195" s="30"/>
    </row>
    <row r="196">
      <c r="V196" s="30"/>
    </row>
    <row r="197">
      <c r="V197" s="30"/>
    </row>
    <row r="198">
      <c r="V198" s="30"/>
    </row>
    <row r="199">
      <c r="V199" s="30"/>
    </row>
    <row r="200">
      <c r="V200" s="30"/>
    </row>
    <row r="201">
      <c r="V201" s="30"/>
    </row>
    <row r="202">
      <c r="V202" s="30"/>
    </row>
    <row r="203">
      <c r="V203" s="30"/>
    </row>
    <row r="204">
      <c r="V204" s="30"/>
    </row>
    <row r="205">
      <c r="V205" s="30"/>
    </row>
    <row r="206">
      <c r="V206" s="30"/>
    </row>
    <row r="207">
      <c r="V207" s="30"/>
    </row>
    <row r="208">
      <c r="V208" s="30"/>
    </row>
    <row r="209">
      <c r="V209" s="30"/>
    </row>
    <row r="210">
      <c r="V210" s="30"/>
    </row>
    <row r="211">
      <c r="V211" s="30"/>
    </row>
    <row r="212">
      <c r="V212" s="30"/>
    </row>
    <row r="213">
      <c r="V213" s="30"/>
    </row>
    <row r="214">
      <c r="V214" s="30"/>
    </row>
    <row r="215">
      <c r="V215" s="30"/>
    </row>
    <row r="216">
      <c r="V216" s="30"/>
    </row>
    <row r="217">
      <c r="V217" s="30"/>
    </row>
    <row r="218">
      <c r="V218" s="30"/>
    </row>
    <row r="219">
      <c r="V219" s="30"/>
    </row>
    <row r="220">
      <c r="V220" s="30"/>
    </row>
    <row r="221">
      <c r="V221" s="30"/>
    </row>
    <row r="222">
      <c r="V222" s="30"/>
    </row>
    <row r="223">
      <c r="V223" s="30"/>
    </row>
    <row r="224">
      <c r="V224" s="30"/>
    </row>
    <row r="225">
      <c r="V225" s="30"/>
    </row>
    <row r="226">
      <c r="V226" s="30"/>
    </row>
    <row r="227">
      <c r="V227" s="30"/>
    </row>
    <row r="228">
      <c r="V228" s="30"/>
    </row>
    <row r="229">
      <c r="V229" s="30"/>
    </row>
    <row r="230">
      <c r="V230" s="30"/>
    </row>
    <row r="231">
      <c r="V231" s="30"/>
    </row>
    <row r="232">
      <c r="V232" s="30"/>
    </row>
    <row r="233">
      <c r="V233" s="30"/>
    </row>
    <row r="234">
      <c r="V234" s="30"/>
    </row>
    <row r="235">
      <c r="V235" s="30"/>
    </row>
    <row r="236">
      <c r="V236" s="30"/>
    </row>
    <row r="237">
      <c r="V237" s="30"/>
    </row>
    <row r="238">
      <c r="V238" s="30"/>
    </row>
    <row r="239">
      <c r="V239" s="30"/>
    </row>
    <row r="240">
      <c r="V240" s="30"/>
    </row>
    <row r="241">
      <c r="V241" s="30"/>
    </row>
    <row r="242">
      <c r="V242" s="30"/>
    </row>
    <row r="243">
      <c r="V243" s="30"/>
    </row>
    <row r="244">
      <c r="V244" s="30"/>
    </row>
    <row r="245">
      <c r="V245" s="30"/>
    </row>
    <row r="246">
      <c r="V246" s="30"/>
    </row>
    <row r="247">
      <c r="V247" s="30"/>
    </row>
    <row r="248">
      <c r="V248" s="30"/>
    </row>
    <row r="249">
      <c r="V249" s="30"/>
    </row>
    <row r="250">
      <c r="V250" s="30"/>
    </row>
    <row r="251">
      <c r="V251" s="30"/>
    </row>
    <row r="252">
      <c r="V252" s="30"/>
    </row>
    <row r="253">
      <c r="V253" s="30"/>
    </row>
    <row r="254">
      <c r="V254" s="30"/>
    </row>
    <row r="255">
      <c r="V255" s="30"/>
    </row>
    <row r="256">
      <c r="V256" s="30"/>
    </row>
    <row r="257">
      <c r="V257" s="30"/>
    </row>
    <row r="258">
      <c r="V258" s="30"/>
    </row>
    <row r="259">
      <c r="V259" s="30"/>
    </row>
    <row r="260">
      <c r="V260" s="30"/>
    </row>
    <row r="261">
      <c r="V261" s="30"/>
    </row>
    <row r="262">
      <c r="V262" s="30"/>
    </row>
    <row r="263">
      <c r="V263" s="30"/>
    </row>
    <row r="264">
      <c r="V264" s="30"/>
    </row>
    <row r="265">
      <c r="V265" s="30"/>
    </row>
    <row r="266">
      <c r="V266" s="30"/>
    </row>
    <row r="267">
      <c r="V267" s="30"/>
    </row>
    <row r="268">
      <c r="V268" s="30"/>
    </row>
    <row r="269">
      <c r="V269" s="30"/>
    </row>
    <row r="270">
      <c r="V270" s="30"/>
    </row>
    <row r="271">
      <c r="V271" s="30"/>
    </row>
    <row r="272">
      <c r="V272" s="30"/>
    </row>
    <row r="273">
      <c r="V273" s="30"/>
    </row>
    <row r="274">
      <c r="V274" s="30"/>
    </row>
    <row r="275">
      <c r="V275" s="30"/>
    </row>
    <row r="276">
      <c r="V276" s="30"/>
    </row>
    <row r="277">
      <c r="V277" s="30"/>
    </row>
    <row r="278">
      <c r="V278" s="30"/>
    </row>
    <row r="279">
      <c r="V279" s="30"/>
    </row>
    <row r="280">
      <c r="V280" s="30"/>
    </row>
    <row r="281">
      <c r="V281" s="30"/>
    </row>
    <row r="282">
      <c r="V282" s="30"/>
    </row>
    <row r="283">
      <c r="V283" s="30"/>
    </row>
    <row r="284">
      <c r="V284" s="30"/>
    </row>
    <row r="285">
      <c r="V285" s="30"/>
    </row>
    <row r="286">
      <c r="V286" s="30"/>
    </row>
    <row r="287">
      <c r="V287" s="30"/>
    </row>
    <row r="288">
      <c r="V288" s="30"/>
    </row>
    <row r="289">
      <c r="V289" s="30"/>
    </row>
    <row r="290">
      <c r="V290" s="30"/>
    </row>
    <row r="291">
      <c r="V291" s="30"/>
    </row>
    <row r="292">
      <c r="V292" s="30"/>
    </row>
    <row r="293">
      <c r="V293" s="30"/>
    </row>
    <row r="294">
      <c r="V294" s="30"/>
    </row>
    <row r="295">
      <c r="V295" s="30"/>
    </row>
    <row r="296">
      <c r="V296" s="30"/>
    </row>
    <row r="297">
      <c r="V297" s="30"/>
    </row>
    <row r="298">
      <c r="V298" s="30"/>
    </row>
    <row r="299">
      <c r="V299" s="30"/>
    </row>
    <row r="300">
      <c r="V300" s="30"/>
    </row>
    <row r="301">
      <c r="V301" s="30"/>
    </row>
    <row r="302">
      <c r="V302" s="30"/>
    </row>
    <row r="303">
      <c r="V303" s="30"/>
    </row>
    <row r="304">
      <c r="V304" s="30"/>
    </row>
    <row r="305">
      <c r="V305" s="30"/>
    </row>
    <row r="306">
      <c r="V306" s="30"/>
    </row>
    <row r="307">
      <c r="V307" s="30"/>
    </row>
    <row r="308">
      <c r="V308" s="30"/>
    </row>
    <row r="309">
      <c r="V309" s="30"/>
    </row>
    <row r="310">
      <c r="V310" s="30"/>
    </row>
    <row r="311">
      <c r="V311" s="30"/>
    </row>
    <row r="312">
      <c r="V312" s="30"/>
    </row>
    <row r="313">
      <c r="V313" s="30"/>
    </row>
    <row r="314">
      <c r="V314" s="30"/>
    </row>
    <row r="315">
      <c r="V315" s="30"/>
    </row>
    <row r="316">
      <c r="V316" s="30"/>
    </row>
    <row r="317">
      <c r="V317" s="30"/>
    </row>
    <row r="318">
      <c r="V318" s="30"/>
    </row>
    <row r="319">
      <c r="V319" s="30"/>
    </row>
    <row r="320">
      <c r="V320" s="30"/>
    </row>
    <row r="321">
      <c r="V321" s="30"/>
    </row>
    <row r="322">
      <c r="V322" s="30"/>
    </row>
    <row r="323">
      <c r="V323" s="30"/>
    </row>
    <row r="324">
      <c r="V324" s="30"/>
    </row>
    <row r="325">
      <c r="V325" s="30"/>
    </row>
    <row r="326">
      <c r="V326" s="30"/>
    </row>
    <row r="327">
      <c r="V327" s="30"/>
    </row>
    <row r="328">
      <c r="V328" s="30"/>
    </row>
    <row r="329">
      <c r="V329" s="30"/>
    </row>
    <row r="330">
      <c r="V330" s="30"/>
    </row>
    <row r="331">
      <c r="V331" s="30"/>
    </row>
    <row r="332">
      <c r="V332" s="30"/>
    </row>
    <row r="333">
      <c r="V333" s="30"/>
    </row>
    <row r="334">
      <c r="V334" s="30"/>
    </row>
    <row r="335">
      <c r="V335" s="30"/>
    </row>
    <row r="336">
      <c r="V336" s="30"/>
    </row>
    <row r="337">
      <c r="V337" s="30"/>
    </row>
    <row r="338">
      <c r="V338" s="30"/>
    </row>
    <row r="339">
      <c r="V339" s="30"/>
    </row>
    <row r="340">
      <c r="V340" s="30"/>
    </row>
    <row r="341">
      <c r="V341" s="30"/>
    </row>
    <row r="342">
      <c r="V342" s="30"/>
    </row>
    <row r="343">
      <c r="V343" s="30"/>
    </row>
    <row r="344">
      <c r="V344" s="30"/>
    </row>
    <row r="345">
      <c r="V345" s="30"/>
    </row>
    <row r="346">
      <c r="V346" s="30"/>
    </row>
    <row r="347">
      <c r="V347" s="30"/>
    </row>
    <row r="348">
      <c r="V348" s="30"/>
    </row>
    <row r="349">
      <c r="V349" s="30"/>
    </row>
    <row r="350">
      <c r="V350" s="30"/>
    </row>
    <row r="351">
      <c r="V351" s="30"/>
    </row>
    <row r="352">
      <c r="V352" s="30"/>
    </row>
    <row r="353">
      <c r="V353" s="30"/>
    </row>
    <row r="354">
      <c r="V354" s="30"/>
    </row>
    <row r="355">
      <c r="V355" s="30"/>
    </row>
    <row r="356">
      <c r="V356" s="30"/>
    </row>
    <row r="357">
      <c r="V357" s="30"/>
    </row>
    <row r="358">
      <c r="V358" s="30"/>
    </row>
    <row r="359">
      <c r="V359" s="30"/>
    </row>
    <row r="360">
      <c r="V360" s="30"/>
    </row>
    <row r="361">
      <c r="V361" s="30"/>
    </row>
    <row r="362">
      <c r="V362" s="30"/>
    </row>
    <row r="363">
      <c r="V363" s="30"/>
    </row>
    <row r="364">
      <c r="V364" s="30"/>
    </row>
    <row r="365">
      <c r="V365" s="30"/>
    </row>
    <row r="366">
      <c r="V366" s="30"/>
    </row>
    <row r="367">
      <c r="V367" s="30"/>
    </row>
    <row r="368">
      <c r="V368" s="30"/>
    </row>
    <row r="369">
      <c r="V369" s="30"/>
    </row>
    <row r="370">
      <c r="V370" s="30"/>
    </row>
    <row r="371">
      <c r="V371" s="30"/>
    </row>
    <row r="372">
      <c r="V372" s="30"/>
    </row>
    <row r="373">
      <c r="V373" s="30"/>
    </row>
    <row r="374">
      <c r="V374" s="30"/>
    </row>
    <row r="375">
      <c r="V375" s="30"/>
    </row>
    <row r="376">
      <c r="V376" s="30"/>
    </row>
    <row r="377">
      <c r="V377" s="30"/>
    </row>
    <row r="378">
      <c r="V378" s="30"/>
    </row>
    <row r="379">
      <c r="V379" s="30"/>
    </row>
    <row r="380">
      <c r="V380" s="30"/>
    </row>
    <row r="381">
      <c r="V381" s="30"/>
    </row>
    <row r="382">
      <c r="V382" s="30"/>
    </row>
    <row r="383">
      <c r="V383" s="30"/>
    </row>
    <row r="384">
      <c r="V384" s="30"/>
    </row>
    <row r="385">
      <c r="V385" s="30"/>
    </row>
    <row r="386">
      <c r="V386" s="30"/>
    </row>
    <row r="387">
      <c r="V387" s="30"/>
    </row>
    <row r="388">
      <c r="V388" s="30"/>
    </row>
    <row r="389">
      <c r="V389" s="30"/>
    </row>
    <row r="390">
      <c r="V390" s="30"/>
    </row>
    <row r="391">
      <c r="V391" s="30"/>
    </row>
    <row r="392">
      <c r="V392" s="30"/>
    </row>
    <row r="393">
      <c r="V393" s="30"/>
    </row>
    <row r="394">
      <c r="V394" s="30"/>
    </row>
    <row r="395">
      <c r="V395" s="30"/>
    </row>
    <row r="396">
      <c r="V396" s="30"/>
    </row>
    <row r="397">
      <c r="V397" s="30"/>
    </row>
    <row r="398">
      <c r="V398" s="30"/>
    </row>
    <row r="399">
      <c r="V399" s="30"/>
    </row>
    <row r="400">
      <c r="V400" s="30"/>
    </row>
    <row r="401">
      <c r="V401" s="30"/>
    </row>
    <row r="402">
      <c r="V402" s="30"/>
    </row>
    <row r="403">
      <c r="V403" s="30"/>
    </row>
    <row r="404">
      <c r="V404" s="30"/>
    </row>
    <row r="405">
      <c r="V405" s="30"/>
    </row>
    <row r="406">
      <c r="V406" s="30"/>
    </row>
    <row r="407">
      <c r="V407" s="30"/>
    </row>
    <row r="408">
      <c r="V408" s="30"/>
    </row>
    <row r="409">
      <c r="V409" s="30"/>
    </row>
    <row r="410">
      <c r="V410" s="30"/>
    </row>
    <row r="411">
      <c r="V411" s="30"/>
    </row>
    <row r="412">
      <c r="V412" s="30"/>
    </row>
    <row r="413">
      <c r="V413" s="30"/>
    </row>
    <row r="414">
      <c r="V414" s="30"/>
    </row>
    <row r="415">
      <c r="V415" s="30"/>
    </row>
    <row r="416">
      <c r="V416" s="30"/>
    </row>
    <row r="417">
      <c r="V417" s="30"/>
    </row>
    <row r="418">
      <c r="V418" s="30"/>
    </row>
    <row r="419">
      <c r="V419" s="30"/>
    </row>
    <row r="420">
      <c r="V420" s="30"/>
    </row>
    <row r="421">
      <c r="V421" s="30"/>
    </row>
    <row r="422">
      <c r="V422" s="30"/>
    </row>
    <row r="423">
      <c r="V423" s="30"/>
    </row>
    <row r="424">
      <c r="V424" s="30"/>
    </row>
    <row r="425">
      <c r="V425" s="30"/>
    </row>
    <row r="426">
      <c r="V426" s="30"/>
    </row>
    <row r="427">
      <c r="V427" s="30"/>
    </row>
    <row r="428">
      <c r="V428" s="30"/>
    </row>
    <row r="429">
      <c r="V429" s="30"/>
    </row>
    <row r="430">
      <c r="V430" s="30"/>
    </row>
    <row r="431">
      <c r="V431" s="30"/>
    </row>
    <row r="432">
      <c r="V432" s="30"/>
    </row>
    <row r="433">
      <c r="V433" s="30"/>
    </row>
    <row r="434">
      <c r="V434" s="30"/>
    </row>
    <row r="435">
      <c r="V435" s="30"/>
    </row>
    <row r="436">
      <c r="V436" s="30"/>
    </row>
    <row r="437">
      <c r="V437" s="30"/>
    </row>
    <row r="438">
      <c r="V438" s="30"/>
    </row>
    <row r="439">
      <c r="V439" s="30"/>
    </row>
    <row r="440">
      <c r="V440" s="30"/>
    </row>
    <row r="441">
      <c r="V441" s="30"/>
    </row>
    <row r="442">
      <c r="V442" s="30"/>
    </row>
    <row r="443">
      <c r="V443" s="30"/>
    </row>
    <row r="444">
      <c r="V444" s="30"/>
    </row>
    <row r="445">
      <c r="V445" s="30"/>
    </row>
    <row r="446">
      <c r="V446" s="30"/>
    </row>
    <row r="447">
      <c r="V447" s="30"/>
    </row>
    <row r="448">
      <c r="V448" s="30"/>
    </row>
    <row r="449">
      <c r="V449" s="30"/>
    </row>
    <row r="450">
      <c r="V450" s="30"/>
    </row>
    <row r="451">
      <c r="V451" s="30"/>
    </row>
    <row r="452">
      <c r="V452" s="30"/>
    </row>
    <row r="453">
      <c r="V453" s="30"/>
    </row>
    <row r="454">
      <c r="V454" s="30"/>
    </row>
    <row r="455">
      <c r="V455" s="30"/>
    </row>
    <row r="456">
      <c r="V456" s="30"/>
    </row>
    <row r="457">
      <c r="V457" s="30"/>
    </row>
    <row r="458">
      <c r="V458" s="30"/>
    </row>
    <row r="459">
      <c r="V459" s="30"/>
    </row>
    <row r="460">
      <c r="V460" s="30"/>
    </row>
    <row r="461">
      <c r="V461" s="30"/>
    </row>
    <row r="462">
      <c r="V462" s="30"/>
    </row>
    <row r="463">
      <c r="V463" s="30"/>
    </row>
    <row r="464">
      <c r="V464" s="30"/>
    </row>
    <row r="465">
      <c r="V465" s="30"/>
    </row>
    <row r="466">
      <c r="V466" s="30"/>
    </row>
    <row r="467">
      <c r="V467" s="30"/>
    </row>
    <row r="468">
      <c r="V468" s="30"/>
    </row>
    <row r="469">
      <c r="V469" s="30"/>
    </row>
    <row r="470">
      <c r="V470" s="30"/>
    </row>
    <row r="471">
      <c r="V471" s="30"/>
    </row>
    <row r="472">
      <c r="V472" s="30"/>
    </row>
    <row r="473">
      <c r="V473" s="30"/>
    </row>
    <row r="474">
      <c r="V474" s="30"/>
    </row>
    <row r="475">
      <c r="V475" s="30"/>
    </row>
    <row r="476">
      <c r="V476" s="30"/>
    </row>
    <row r="477">
      <c r="V477" s="30"/>
    </row>
    <row r="478">
      <c r="V478" s="30"/>
    </row>
    <row r="479">
      <c r="V479" s="30"/>
    </row>
    <row r="480">
      <c r="V480" s="30"/>
    </row>
    <row r="481">
      <c r="V481" s="30"/>
    </row>
    <row r="482">
      <c r="V482" s="30"/>
    </row>
    <row r="483">
      <c r="V483" s="30"/>
    </row>
    <row r="484">
      <c r="V484" s="30"/>
    </row>
    <row r="485">
      <c r="V485" s="30"/>
    </row>
    <row r="486">
      <c r="V486" s="30"/>
    </row>
    <row r="487">
      <c r="V487" s="30"/>
    </row>
    <row r="488">
      <c r="V488" s="30"/>
    </row>
    <row r="489">
      <c r="V489" s="30"/>
    </row>
    <row r="490">
      <c r="V490" s="30"/>
    </row>
    <row r="491">
      <c r="V491" s="30"/>
    </row>
    <row r="492">
      <c r="V492" s="30"/>
    </row>
    <row r="493">
      <c r="V493" s="30"/>
    </row>
    <row r="494">
      <c r="V494" s="30"/>
    </row>
    <row r="495">
      <c r="V495" s="30"/>
    </row>
    <row r="496">
      <c r="V496" s="30"/>
    </row>
    <row r="497">
      <c r="V497" s="30"/>
    </row>
    <row r="498">
      <c r="V498" s="30"/>
    </row>
    <row r="499">
      <c r="V499" s="30"/>
    </row>
    <row r="500">
      <c r="V500" s="30"/>
    </row>
    <row r="501">
      <c r="V501" s="30"/>
    </row>
    <row r="502">
      <c r="V502" s="30"/>
    </row>
    <row r="503">
      <c r="V503" s="30"/>
    </row>
    <row r="504">
      <c r="V504" s="30"/>
    </row>
    <row r="505">
      <c r="V505" s="30"/>
    </row>
    <row r="506">
      <c r="V506" s="30"/>
    </row>
    <row r="507">
      <c r="V507" s="30"/>
    </row>
    <row r="508">
      <c r="V508" s="30"/>
    </row>
    <row r="509">
      <c r="V509" s="30"/>
    </row>
    <row r="510">
      <c r="V510" s="30"/>
    </row>
    <row r="511">
      <c r="V511" s="30"/>
    </row>
    <row r="512">
      <c r="V512" s="30"/>
    </row>
    <row r="513">
      <c r="V513" s="30"/>
    </row>
    <row r="514">
      <c r="V514" s="30"/>
    </row>
    <row r="515">
      <c r="V515" s="30"/>
    </row>
    <row r="516">
      <c r="V516" s="30"/>
    </row>
    <row r="517">
      <c r="V517" s="30"/>
    </row>
    <row r="518">
      <c r="V518" s="30"/>
    </row>
    <row r="519">
      <c r="V519" s="30"/>
    </row>
    <row r="520">
      <c r="V520" s="30"/>
    </row>
    <row r="521">
      <c r="V521" s="30"/>
    </row>
    <row r="522">
      <c r="V522" s="30"/>
    </row>
    <row r="523">
      <c r="V523" s="30"/>
    </row>
    <row r="524">
      <c r="V524" s="30"/>
    </row>
    <row r="525">
      <c r="V525" s="30"/>
    </row>
    <row r="526">
      <c r="V526" s="30"/>
    </row>
    <row r="527">
      <c r="V527" s="30"/>
    </row>
    <row r="528">
      <c r="V528" s="30"/>
    </row>
    <row r="529">
      <c r="V529" s="30"/>
    </row>
    <row r="530">
      <c r="V530" s="30"/>
    </row>
    <row r="531">
      <c r="V531" s="30"/>
    </row>
    <row r="532">
      <c r="V532" s="30"/>
    </row>
    <row r="533">
      <c r="V533" s="30"/>
    </row>
    <row r="534">
      <c r="V534" s="30"/>
    </row>
    <row r="535">
      <c r="V535" s="30"/>
    </row>
    <row r="536">
      <c r="V536" s="30"/>
    </row>
    <row r="537">
      <c r="V537" s="30"/>
    </row>
    <row r="538">
      <c r="V538" s="30"/>
    </row>
    <row r="539">
      <c r="V539" s="30"/>
    </row>
    <row r="540">
      <c r="V540" s="30"/>
    </row>
    <row r="541">
      <c r="V541" s="30"/>
    </row>
    <row r="542">
      <c r="V542" s="30"/>
    </row>
    <row r="543">
      <c r="V543" s="30"/>
    </row>
    <row r="544">
      <c r="V544" s="30"/>
    </row>
    <row r="545">
      <c r="V545" s="30"/>
    </row>
    <row r="546">
      <c r="V546" s="30"/>
    </row>
    <row r="547">
      <c r="V547" s="30"/>
    </row>
    <row r="548">
      <c r="V548" s="30"/>
    </row>
    <row r="549">
      <c r="V549" s="30"/>
    </row>
    <row r="550">
      <c r="V550" s="30"/>
    </row>
    <row r="551">
      <c r="V551" s="30"/>
    </row>
    <row r="552">
      <c r="V552" s="30"/>
    </row>
    <row r="553">
      <c r="V553" s="30"/>
    </row>
    <row r="554">
      <c r="V554" s="30"/>
    </row>
    <row r="555">
      <c r="V555" s="30"/>
    </row>
    <row r="556">
      <c r="V556" s="30"/>
    </row>
    <row r="557">
      <c r="V557" s="30"/>
    </row>
    <row r="558">
      <c r="V558" s="30"/>
    </row>
    <row r="559">
      <c r="V559" s="30"/>
    </row>
    <row r="560">
      <c r="V560" s="30"/>
    </row>
    <row r="561">
      <c r="V561" s="30"/>
    </row>
    <row r="562">
      <c r="V562" s="30"/>
    </row>
    <row r="563">
      <c r="V563" s="30"/>
    </row>
    <row r="564">
      <c r="V564" s="30"/>
    </row>
    <row r="565">
      <c r="V565" s="30"/>
    </row>
    <row r="566">
      <c r="V566" s="30"/>
    </row>
    <row r="567">
      <c r="V567" s="30"/>
    </row>
    <row r="568">
      <c r="V568" s="30"/>
    </row>
    <row r="569">
      <c r="V569" s="30"/>
    </row>
    <row r="570">
      <c r="V570" s="30"/>
    </row>
    <row r="571">
      <c r="V571" s="30"/>
    </row>
    <row r="572">
      <c r="V572" s="30"/>
    </row>
    <row r="573">
      <c r="V573" s="30"/>
    </row>
    <row r="574">
      <c r="V574" s="30"/>
    </row>
    <row r="575">
      <c r="V575" s="30"/>
    </row>
    <row r="576">
      <c r="V576" s="30"/>
    </row>
    <row r="577">
      <c r="V577" s="30"/>
    </row>
    <row r="578">
      <c r="V578" s="30"/>
    </row>
    <row r="579">
      <c r="V579" s="30"/>
    </row>
    <row r="580">
      <c r="V580" s="30"/>
    </row>
    <row r="581">
      <c r="V581" s="30"/>
    </row>
    <row r="582">
      <c r="V582" s="30"/>
    </row>
    <row r="583">
      <c r="V583" s="30"/>
    </row>
    <row r="584">
      <c r="V584" s="30"/>
    </row>
    <row r="585">
      <c r="V585" s="30"/>
    </row>
    <row r="586">
      <c r="V586" s="30"/>
    </row>
    <row r="587">
      <c r="V587" s="30"/>
    </row>
    <row r="588">
      <c r="V588" s="30"/>
    </row>
    <row r="589">
      <c r="V589" s="30"/>
    </row>
    <row r="590">
      <c r="V590" s="30"/>
    </row>
    <row r="591">
      <c r="V591" s="30"/>
    </row>
    <row r="592">
      <c r="V592" s="30"/>
    </row>
    <row r="593">
      <c r="V593" s="30"/>
    </row>
    <row r="594">
      <c r="V594" s="30"/>
    </row>
    <row r="595">
      <c r="V595" s="30"/>
    </row>
    <row r="596">
      <c r="V596" s="30"/>
    </row>
    <row r="597">
      <c r="V597" s="30"/>
    </row>
    <row r="598">
      <c r="V598" s="30"/>
    </row>
    <row r="599">
      <c r="V599" s="30"/>
    </row>
    <row r="600">
      <c r="V600" s="30"/>
    </row>
    <row r="601">
      <c r="V601" s="30"/>
    </row>
    <row r="602">
      <c r="V602" s="30"/>
    </row>
    <row r="603">
      <c r="V603" s="30"/>
    </row>
    <row r="604">
      <c r="V604" s="30"/>
    </row>
    <row r="605">
      <c r="V605" s="30"/>
    </row>
    <row r="606">
      <c r="V606" s="30"/>
    </row>
    <row r="607">
      <c r="V607" s="30"/>
    </row>
    <row r="608">
      <c r="V608" s="30"/>
    </row>
    <row r="609">
      <c r="V609" s="30"/>
    </row>
    <row r="610">
      <c r="V610" s="30"/>
    </row>
    <row r="611">
      <c r="V611" s="30"/>
    </row>
    <row r="612">
      <c r="V612" s="30"/>
    </row>
    <row r="613">
      <c r="V613" s="30"/>
    </row>
    <row r="614">
      <c r="V614" s="30"/>
    </row>
    <row r="615">
      <c r="V615" s="30"/>
    </row>
    <row r="616">
      <c r="V616" s="30"/>
    </row>
    <row r="617">
      <c r="V617" s="30"/>
    </row>
    <row r="618">
      <c r="V618" s="30"/>
    </row>
    <row r="619">
      <c r="V619" s="30"/>
    </row>
    <row r="620">
      <c r="V620" s="30"/>
    </row>
    <row r="621">
      <c r="V621" s="30"/>
    </row>
    <row r="622">
      <c r="V622" s="30"/>
    </row>
    <row r="623">
      <c r="V623" s="30"/>
    </row>
    <row r="624">
      <c r="V624" s="30"/>
    </row>
    <row r="625">
      <c r="V625" s="30"/>
    </row>
    <row r="626">
      <c r="V626" s="30"/>
    </row>
    <row r="627">
      <c r="V627" s="30"/>
    </row>
    <row r="628">
      <c r="V628" s="30"/>
    </row>
    <row r="629">
      <c r="V629" s="30"/>
    </row>
    <row r="630">
      <c r="V630" s="30"/>
    </row>
    <row r="631">
      <c r="V631" s="30"/>
    </row>
    <row r="632">
      <c r="V632" s="30"/>
    </row>
    <row r="633">
      <c r="V633" s="30"/>
    </row>
    <row r="634">
      <c r="V634" s="30"/>
    </row>
    <row r="635">
      <c r="V635" s="30"/>
    </row>
    <row r="636">
      <c r="V636" s="30"/>
    </row>
    <row r="637">
      <c r="V637" s="30"/>
    </row>
    <row r="638">
      <c r="V638" s="30"/>
    </row>
    <row r="639">
      <c r="V639" s="30"/>
    </row>
    <row r="640">
      <c r="V640" s="30"/>
    </row>
    <row r="641">
      <c r="V641" s="30"/>
    </row>
    <row r="642">
      <c r="V642" s="30"/>
    </row>
    <row r="643">
      <c r="V643" s="30"/>
    </row>
    <row r="644">
      <c r="V644" s="30"/>
    </row>
    <row r="645">
      <c r="V645" s="30"/>
    </row>
    <row r="646">
      <c r="V646" s="30"/>
    </row>
    <row r="647">
      <c r="V647" s="30"/>
    </row>
    <row r="648">
      <c r="V648" s="30"/>
    </row>
    <row r="649">
      <c r="V649" s="30"/>
    </row>
    <row r="650">
      <c r="V650" s="30"/>
    </row>
    <row r="651">
      <c r="V651" s="30"/>
    </row>
    <row r="652">
      <c r="V652" s="30"/>
    </row>
    <row r="653">
      <c r="V653" s="30"/>
    </row>
    <row r="654">
      <c r="V654" s="30"/>
    </row>
    <row r="655">
      <c r="V655" s="30"/>
    </row>
    <row r="656">
      <c r="V656" s="30"/>
    </row>
    <row r="657">
      <c r="V657" s="30"/>
    </row>
    <row r="658">
      <c r="V658" s="30"/>
    </row>
    <row r="659">
      <c r="V659" s="30"/>
    </row>
    <row r="660">
      <c r="V660" s="30"/>
    </row>
    <row r="661">
      <c r="V661" s="30"/>
    </row>
    <row r="662">
      <c r="V662" s="30"/>
    </row>
    <row r="663">
      <c r="V663" s="30"/>
    </row>
    <row r="664">
      <c r="V664" s="30"/>
    </row>
    <row r="665">
      <c r="V665" s="30"/>
    </row>
    <row r="666">
      <c r="V666" s="30"/>
    </row>
    <row r="667">
      <c r="V667" s="30"/>
    </row>
    <row r="668">
      <c r="V668" s="30"/>
    </row>
    <row r="669">
      <c r="V669" s="30"/>
    </row>
    <row r="670">
      <c r="V670" s="30"/>
    </row>
    <row r="671">
      <c r="V671" s="30"/>
    </row>
    <row r="672">
      <c r="V672" s="30"/>
    </row>
    <row r="673">
      <c r="V673" s="30"/>
    </row>
    <row r="674">
      <c r="V674" s="30"/>
    </row>
    <row r="675">
      <c r="V675" s="30"/>
    </row>
    <row r="676">
      <c r="V676" s="30"/>
    </row>
    <row r="677">
      <c r="V677" s="30"/>
    </row>
    <row r="678">
      <c r="V678" s="30"/>
    </row>
    <row r="679">
      <c r="V679" s="30"/>
    </row>
    <row r="680">
      <c r="V680" s="30"/>
    </row>
    <row r="681">
      <c r="V681" s="30"/>
    </row>
    <row r="682">
      <c r="V682" s="30"/>
    </row>
    <row r="683">
      <c r="V683" s="30"/>
    </row>
    <row r="684">
      <c r="V684" s="30"/>
    </row>
    <row r="685">
      <c r="V685" s="30"/>
    </row>
    <row r="686">
      <c r="V686" s="30"/>
    </row>
    <row r="687">
      <c r="V687" s="30"/>
    </row>
    <row r="688">
      <c r="V688" s="30"/>
    </row>
    <row r="689">
      <c r="V689" s="30"/>
    </row>
    <row r="690">
      <c r="V690" s="30"/>
    </row>
    <row r="691">
      <c r="V691" s="30"/>
    </row>
    <row r="692">
      <c r="V692" s="30"/>
    </row>
    <row r="693">
      <c r="V693" s="30"/>
    </row>
    <row r="694">
      <c r="V694" s="30"/>
    </row>
    <row r="695">
      <c r="V695" s="30"/>
    </row>
    <row r="696">
      <c r="V696" s="30"/>
    </row>
    <row r="697">
      <c r="V697" s="30"/>
    </row>
    <row r="698">
      <c r="V698" s="30"/>
    </row>
    <row r="699">
      <c r="V699" s="30"/>
    </row>
    <row r="700">
      <c r="V700" s="30"/>
    </row>
    <row r="701">
      <c r="V701" s="30"/>
    </row>
    <row r="702">
      <c r="V702" s="30"/>
    </row>
    <row r="703">
      <c r="V703" s="30"/>
    </row>
    <row r="704">
      <c r="V704" s="30"/>
    </row>
    <row r="705">
      <c r="V705" s="30"/>
    </row>
    <row r="706">
      <c r="V706" s="30"/>
    </row>
    <row r="707">
      <c r="V707" s="30"/>
    </row>
    <row r="708">
      <c r="V708" s="30"/>
    </row>
    <row r="709">
      <c r="V709" s="30"/>
    </row>
    <row r="710">
      <c r="V710" s="30"/>
    </row>
    <row r="711">
      <c r="V711" s="30"/>
    </row>
    <row r="712">
      <c r="V712" s="30"/>
    </row>
    <row r="713">
      <c r="V713" s="30"/>
    </row>
    <row r="714">
      <c r="V714" s="30"/>
    </row>
    <row r="715">
      <c r="V715" s="30"/>
    </row>
    <row r="716">
      <c r="V716" s="30"/>
    </row>
    <row r="717">
      <c r="V717" s="30"/>
    </row>
    <row r="718">
      <c r="V718" s="30"/>
    </row>
    <row r="719">
      <c r="V719" s="30"/>
    </row>
    <row r="720">
      <c r="V720" s="30"/>
    </row>
    <row r="721">
      <c r="V721" s="30"/>
    </row>
    <row r="722">
      <c r="V722" s="30"/>
    </row>
    <row r="723">
      <c r="V723" s="30"/>
    </row>
    <row r="724">
      <c r="V724" s="30"/>
    </row>
    <row r="725">
      <c r="V725" s="30"/>
    </row>
    <row r="726">
      <c r="V726" s="30"/>
    </row>
    <row r="727">
      <c r="V727" s="30"/>
    </row>
    <row r="728">
      <c r="V728" s="30"/>
    </row>
    <row r="729">
      <c r="V729" s="30"/>
    </row>
    <row r="730">
      <c r="V730" s="30"/>
    </row>
    <row r="731">
      <c r="V731" s="30"/>
    </row>
    <row r="732">
      <c r="V732" s="30"/>
    </row>
    <row r="733">
      <c r="V733" s="30"/>
    </row>
    <row r="734">
      <c r="V734" s="30"/>
    </row>
    <row r="735">
      <c r="V735" s="30"/>
    </row>
    <row r="736">
      <c r="V736" s="30"/>
    </row>
    <row r="737">
      <c r="V737" s="30"/>
    </row>
    <row r="738">
      <c r="V738" s="30"/>
    </row>
    <row r="739">
      <c r="V739" s="30"/>
    </row>
    <row r="740">
      <c r="V740" s="30"/>
    </row>
    <row r="741">
      <c r="V741" s="30"/>
    </row>
    <row r="742">
      <c r="V742" s="30"/>
    </row>
    <row r="743">
      <c r="V743" s="30"/>
    </row>
    <row r="744">
      <c r="V744" s="30"/>
    </row>
    <row r="745">
      <c r="V745" s="30"/>
    </row>
    <row r="746">
      <c r="V746" s="30"/>
    </row>
    <row r="747">
      <c r="V747" s="30"/>
    </row>
    <row r="748">
      <c r="V748" s="30"/>
    </row>
    <row r="749">
      <c r="V749" s="30"/>
    </row>
    <row r="750">
      <c r="V750" s="30"/>
    </row>
    <row r="751">
      <c r="V751" s="30"/>
    </row>
    <row r="752">
      <c r="V752" s="30"/>
    </row>
    <row r="753">
      <c r="V753" s="30"/>
    </row>
    <row r="754">
      <c r="V754" s="30"/>
    </row>
    <row r="755">
      <c r="V755" s="30"/>
    </row>
    <row r="756">
      <c r="V756" s="30"/>
    </row>
    <row r="757">
      <c r="V757" s="30"/>
    </row>
    <row r="758">
      <c r="V758" s="30"/>
    </row>
    <row r="759">
      <c r="V759" s="30"/>
    </row>
    <row r="760">
      <c r="V760" s="30"/>
    </row>
    <row r="761">
      <c r="V761" s="30"/>
    </row>
    <row r="762">
      <c r="V762" s="30"/>
    </row>
    <row r="763">
      <c r="V763" s="30"/>
    </row>
    <row r="764">
      <c r="V764" s="30"/>
    </row>
    <row r="765">
      <c r="V765" s="30"/>
    </row>
    <row r="766">
      <c r="V766" s="30"/>
    </row>
    <row r="767">
      <c r="V767" s="30"/>
    </row>
    <row r="768">
      <c r="V768" s="30"/>
    </row>
    <row r="769">
      <c r="V769" s="30"/>
    </row>
    <row r="770">
      <c r="V770" s="30"/>
    </row>
    <row r="771">
      <c r="V771" s="30"/>
    </row>
    <row r="772">
      <c r="V772" s="30"/>
    </row>
    <row r="773">
      <c r="V773" s="30"/>
    </row>
    <row r="774">
      <c r="V774" s="30"/>
    </row>
    <row r="775">
      <c r="V775" s="30"/>
    </row>
    <row r="776">
      <c r="V776" s="30"/>
    </row>
    <row r="777">
      <c r="V777" s="30"/>
    </row>
    <row r="778">
      <c r="V778" s="30"/>
    </row>
    <row r="779">
      <c r="V779" s="30"/>
    </row>
    <row r="780">
      <c r="V780" s="30"/>
    </row>
    <row r="781">
      <c r="V781" s="30"/>
    </row>
    <row r="782">
      <c r="V782" s="30"/>
    </row>
    <row r="783">
      <c r="V783" s="30"/>
    </row>
    <row r="784">
      <c r="V784" s="30"/>
    </row>
    <row r="785">
      <c r="V785" s="30"/>
    </row>
    <row r="786">
      <c r="V786" s="30"/>
    </row>
    <row r="787">
      <c r="V787" s="30"/>
    </row>
    <row r="788">
      <c r="V788" s="30"/>
    </row>
    <row r="789">
      <c r="V789" s="30"/>
    </row>
    <row r="790">
      <c r="V790" s="30"/>
    </row>
    <row r="791">
      <c r="V791" s="30"/>
    </row>
    <row r="792">
      <c r="V792" s="30"/>
    </row>
    <row r="793">
      <c r="V793" s="30"/>
    </row>
    <row r="794">
      <c r="V794" s="30"/>
    </row>
    <row r="795">
      <c r="V795" s="30"/>
    </row>
    <row r="796">
      <c r="V796" s="30"/>
    </row>
    <row r="797">
      <c r="V797" s="30"/>
    </row>
    <row r="798">
      <c r="V798" s="30"/>
    </row>
    <row r="799">
      <c r="V799" s="30"/>
    </row>
    <row r="800">
      <c r="V800" s="30"/>
    </row>
    <row r="801">
      <c r="V801" s="30"/>
    </row>
    <row r="802">
      <c r="V802" s="30"/>
    </row>
    <row r="803">
      <c r="V803" s="30"/>
    </row>
    <row r="804">
      <c r="V804" s="30"/>
    </row>
    <row r="805">
      <c r="V805" s="30"/>
    </row>
    <row r="806">
      <c r="V806" s="30"/>
    </row>
    <row r="807">
      <c r="V807" s="30"/>
    </row>
    <row r="808">
      <c r="V808" s="30"/>
    </row>
    <row r="809">
      <c r="V809" s="30"/>
    </row>
    <row r="810">
      <c r="V810" s="30"/>
    </row>
    <row r="811">
      <c r="V811" s="30"/>
    </row>
    <row r="812">
      <c r="V812" s="30"/>
    </row>
    <row r="813">
      <c r="V813" s="30"/>
    </row>
    <row r="814">
      <c r="V814" s="30"/>
    </row>
    <row r="815">
      <c r="V815" s="30"/>
    </row>
    <row r="816">
      <c r="V816" s="30"/>
    </row>
    <row r="817">
      <c r="V817" s="30"/>
    </row>
    <row r="818">
      <c r="V818" s="30"/>
    </row>
    <row r="819">
      <c r="V819" s="30"/>
    </row>
    <row r="820">
      <c r="V820" s="30"/>
    </row>
    <row r="821">
      <c r="V821" s="30"/>
    </row>
    <row r="822">
      <c r="V822" s="30"/>
    </row>
    <row r="823">
      <c r="V823" s="30"/>
    </row>
    <row r="824">
      <c r="V824" s="30"/>
    </row>
    <row r="825">
      <c r="V825" s="30"/>
    </row>
    <row r="826">
      <c r="V826" s="30"/>
    </row>
    <row r="827">
      <c r="V827" s="30"/>
    </row>
    <row r="828">
      <c r="V828" s="30"/>
    </row>
    <row r="829">
      <c r="V829" s="30"/>
    </row>
    <row r="830">
      <c r="V830" s="30"/>
    </row>
    <row r="831">
      <c r="V831" s="30"/>
    </row>
    <row r="832">
      <c r="V832" s="30"/>
    </row>
    <row r="833">
      <c r="V833" s="30"/>
    </row>
    <row r="834">
      <c r="V834" s="30"/>
    </row>
    <row r="835">
      <c r="V835" s="30"/>
    </row>
    <row r="836">
      <c r="V836" s="30"/>
    </row>
    <row r="837">
      <c r="V837" s="30"/>
    </row>
    <row r="838">
      <c r="V838" s="30"/>
    </row>
    <row r="839">
      <c r="V839" s="30"/>
    </row>
    <row r="840">
      <c r="V840" s="30"/>
    </row>
    <row r="841">
      <c r="V841" s="30"/>
    </row>
    <row r="842">
      <c r="V842" s="30"/>
    </row>
    <row r="843">
      <c r="V843" s="30"/>
    </row>
    <row r="844">
      <c r="V844" s="30"/>
    </row>
    <row r="845">
      <c r="V845" s="30"/>
    </row>
    <row r="846">
      <c r="V846" s="30"/>
    </row>
    <row r="847">
      <c r="V847" s="30"/>
    </row>
    <row r="848">
      <c r="V848" s="30"/>
    </row>
    <row r="849">
      <c r="V849" s="30"/>
    </row>
    <row r="850">
      <c r="V850" s="30"/>
    </row>
    <row r="851">
      <c r="V851" s="30"/>
    </row>
    <row r="852">
      <c r="V852" s="30"/>
    </row>
    <row r="853">
      <c r="V853" s="30"/>
    </row>
    <row r="854">
      <c r="V854" s="30"/>
    </row>
    <row r="855">
      <c r="V855" s="30"/>
    </row>
    <row r="856">
      <c r="V856" s="30"/>
    </row>
    <row r="857">
      <c r="V857" s="30"/>
    </row>
    <row r="858">
      <c r="V858" s="30"/>
    </row>
    <row r="859">
      <c r="V859" s="30"/>
    </row>
    <row r="860">
      <c r="V860" s="30"/>
    </row>
    <row r="861">
      <c r="V861" s="30"/>
    </row>
    <row r="862">
      <c r="V862" s="30"/>
    </row>
    <row r="863">
      <c r="V863" s="30"/>
    </row>
    <row r="864">
      <c r="V864" s="30"/>
    </row>
    <row r="865">
      <c r="V865" s="30"/>
    </row>
    <row r="866">
      <c r="V866" s="30"/>
    </row>
    <row r="867">
      <c r="V867" s="30"/>
    </row>
    <row r="868">
      <c r="V868" s="30"/>
    </row>
    <row r="869">
      <c r="V869" s="30"/>
    </row>
    <row r="870">
      <c r="V870" s="30"/>
    </row>
    <row r="871">
      <c r="V871" s="30"/>
    </row>
    <row r="872">
      <c r="V872" s="30"/>
    </row>
    <row r="873">
      <c r="V873" s="30"/>
    </row>
    <row r="874">
      <c r="V874" s="30"/>
    </row>
    <row r="875">
      <c r="V875" s="30"/>
    </row>
    <row r="876">
      <c r="V876" s="30"/>
    </row>
    <row r="877">
      <c r="V877" s="30"/>
    </row>
    <row r="878">
      <c r="V878" s="30"/>
    </row>
    <row r="879">
      <c r="V879" s="30"/>
    </row>
    <row r="880">
      <c r="V880" s="30"/>
    </row>
    <row r="881">
      <c r="V881" s="30"/>
    </row>
    <row r="882">
      <c r="V882" s="30"/>
    </row>
    <row r="883">
      <c r="V883" s="30"/>
    </row>
    <row r="884">
      <c r="V884" s="30"/>
    </row>
    <row r="885">
      <c r="V885" s="30"/>
    </row>
    <row r="886">
      <c r="V886" s="30"/>
    </row>
    <row r="887">
      <c r="V887" s="30"/>
    </row>
    <row r="888">
      <c r="V888" s="30"/>
    </row>
    <row r="889">
      <c r="V889" s="30"/>
    </row>
    <row r="890">
      <c r="V890" s="30"/>
    </row>
    <row r="891">
      <c r="V891" s="30"/>
    </row>
    <row r="892">
      <c r="V892" s="30"/>
    </row>
    <row r="893">
      <c r="V893" s="30"/>
    </row>
    <row r="894">
      <c r="V894" s="30"/>
    </row>
    <row r="895">
      <c r="V895" s="30"/>
    </row>
    <row r="896">
      <c r="V896" s="30"/>
    </row>
    <row r="897">
      <c r="V897" s="30"/>
    </row>
    <row r="898">
      <c r="V898" s="30"/>
    </row>
    <row r="899">
      <c r="V899" s="30"/>
    </row>
    <row r="900">
      <c r="V900" s="30"/>
    </row>
    <row r="901">
      <c r="V901" s="30"/>
    </row>
    <row r="902">
      <c r="V902" s="30"/>
    </row>
    <row r="903">
      <c r="V903" s="30"/>
    </row>
    <row r="904">
      <c r="V904" s="30"/>
    </row>
    <row r="905">
      <c r="V905" s="30"/>
    </row>
    <row r="906">
      <c r="V906" s="30"/>
    </row>
    <row r="907">
      <c r="V907" s="30"/>
    </row>
    <row r="908">
      <c r="V908" s="30"/>
    </row>
    <row r="909">
      <c r="V909" s="30"/>
    </row>
    <row r="910">
      <c r="V910" s="30"/>
    </row>
    <row r="911">
      <c r="V911" s="30"/>
    </row>
    <row r="912">
      <c r="V912" s="30"/>
    </row>
    <row r="913">
      <c r="V913" s="30"/>
    </row>
    <row r="914">
      <c r="V914" s="30"/>
    </row>
    <row r="915">
      <c r="V915" s="30"/>
    </row>
    <row r="916">
      <c r="V916" s="30"/>
    </row>
    <row r="917">
      <c r="V917" s="30"/>
    </row>
    <row r="918">
      <c r="V918" s="30"/>
    </row>
    <row r="919">
      <c r="V919" s="30"/>
    </row>
    <row r="920">
      <c r="V920" s="30"/>
    </row>
    <row r="921">
      <c r="V921" s="30"/>
    </row>
    <row r="922">
      <c r="V922" s="30"/>
    </row>
    <row r="923">
      <c r="V923" s="30"/>
    </row>
    <row r="924">
      <c r="V924" s="30"/>
    </row>
    <row r="925">
      <c r="V925" s="30"/>
    </row>
    <row r="926">
      <c r="V926" s="30"/>
    </row>
    <row r="927">
      <c r="V927" s="30"/>
    </row>
    <row r="928">
      <c r="V928" s="30"/>
    </row>
    <row r="929">
      <c r="V929" s="30"/>
    </row>
    <row r="930">
      <c r="V930" s="30"/>
    </row>
    <row r="931">
      <c r="V931" s="30"/>
    </row>
    <row r="932">
      <c r="V932" s="30"/>
    </row>
    <row r="933">
      <c r="V933" s="30"/>
    </row>
    <row r="934">
      <c r="V934" s="30"/>
    </row>
    <row r="935">
      <c r="V935" s="30"/>
    </row>
    <row r="936">
      <c r="V936" s="30"/>
    </row>
    <row r="937">
      <c r="V937" s="30"/>
    </row>
    <row r="938">
      <c r="V938" s="30"/>
    </row>
    <row r="939">
      <c r="V939" s="30"/>
    </row>
    <row r="940">
      <c r="V940" s="30"/>
    </row>
    <row r="941">
      <c r="V941" s="30"/>
    </row>
    <row r="942">
      <c r="V942" s="30"/>
    </row>
    <row r="943">
      <c r="V943" s="30"/>
    </row>
    <row r="944">
      <c r="V944" s="30"/>
    </row>
    <row r="945">
      <c r="V945" s="30"/>
    </row>
    <row r="946">
      <c r="V946" s="30"/>
    </row>
    <row r="947">
      <c r="V947" s="30"/>
    </row>
    <row r="948">
      <c r="V948" s="30"/>
    </row>
    <row r="949">
      <c r="V949" s="30"/>
    </row>
    <row r="950">
      <c r="V950" s="30"/>
    </row>
    <row r="951">
      <c r="V951" s="30"/>
    </row>
    <row r="952">
      <c r="V952" s="30"/>
    </row>
    <row r="953">
      <c r="V953" s="30"/>
    </row>
    <row r="954">
      <c r="V954" s="30"/>
    </row>
    <row r="955">
      <c r="V955" s="30"/>
    </row>
    <row r="956">
      <c r="V956" s="30"/>
    </row>
    <row r="957">
      <c r="V957" s="30"/>
    </row>
    <row r="958">
      <c r="V958" s="30"/>
    </row>
    <row r="959">
      <c r="V959" s="30"/>
    </row>
    <row r="960">
      <c r="V960" s="30"/>
    </row>
    <row r="961">
      <c r="V961" s="30"/>
    </row>
    <row r="962">
      <c r="V962" s="30"/>
    </row>
    <row r="963">
      <c r="V963" s="30"/>
    </row>
    <row r="964">
      <c r="V964" s="30"/>
    </row>
    <row r="965">
      <c r="V965" s="30"/>
    </row>
    <row r="966">
      <c r="V966" s="30"/>
    </row>
    <row r="967">
      <c r="V967" s="30"/>
    </row>
    <row r="968">
      <c r="V968" s="30"/>
    </row>
    <row r="969">
      <c r="V969" s="30"/>
    </row>
    <row r="970">
      <c r="V970" s="30"/>
    </row>
    <row r="971">
      <c r="V971" s="30"/>
    </row>
    <row r="972">
      <c r="V972" s="30"/>
    </row>
    <row r="973">
      <c r="V973" s="30"/>
    </row>
    <row r="974">
      <c r="V974" s="30"/>
    </row>
    <row r="975">
      <c r="V975" s="30"/>
    </row>
    <row r="976">
      <c r="V976" s="30"/>
    </row>
    <row r="977">
      <c r="V977" s="30"/>
    </row>
    <row r="978">
      <c r="V978" s="30"/>
    </row>
    <row r="979">
      <c r="V979" s="30"/>
    </row>
    <row r="980">
      <c r="V980" s="30"/>
    </row>
    <row r="981">
      <c r="V981" s="30"/>
    </row>
    <row r="982">
      <c r="V982" s="30"/>
    </row>
    <row r="983">
      <c r="V983" s="30"/>
    </row>
    <row r="984">
      <c r="V984" s="30"/>
    </row>
    <row r="985">
      <c r="V985" s="30"/>
    </row>
    <row r="986">
      <c r="V986" s="30"/>
    </row>
    <row r="987">
      <c r="V987" s="30"/>
    </row>
    <row r="988">
      <c r="V988" s="30"/>
    </row>
    <row r="989">
      <c r="V989" s="30"/>
    </row>
    <row r="990">
      <c r="V990" s="30"/>
    </row>
    <row r="991">
      <c r="V991" s="30"/>
    </row>
    <row r="992">
      <c r="V992" s="30"/>
    </row>
    <row r="993">
      <c r="V993" s="30"/>
    </row>
    <row r="994">
      <c r="V994" s="30"/>
    </row>
    <row r="995">
      <c r="V995" s="30"/>
    </row>
    <row r="996">
      <c r="V996" s="30"/>
    </row>
    <row r="997">
      <c r="V997" s="30"/>
    </row>
    <row r="998">
      <c r="V998" s="30"/>
    </row>
    <row r="999">
      <c r="V999" s="30"/>
    </row>
    <row r="1000">
      <c r="V1000" s="30"/>
    </row>
    <row r="1001">
      <c r="V1001" s="30"/>
    </row>
    <row r="1002">
      <c r="V1002" s="30"/>
    </row>
    <row r="1003">
      <c r="V1003" s="30"/>
    </row>
    <row r="1004">
      <c r="V1004" s="30"/>
    </row>
    <row r="1005">
      <c r="V1005" s="30"/>
    </row>
  </sheetData>
  <dataValidations>
    <dataValidation type="custom" allowBlank="1" showDropDown="1" sqref="C2:D73">
      <formula1>OR(NOT(ISERROR(DATEVALUE(C2))), AND(ISNUMBER(C2), LEFT(CELL("format", C2))="D"))</formula1>
    </dataValidation>
    <dataValidation type="custom" allowBlank="1" showDropDown="1" sqref="B2:B73 H2:M73 U2:U73">
      <formula1>AND(ISNUMBER(B2),(NOT(OR(NOT(ISERROR(DATEVALUE(B2))), AND(ISNUMBER(B2), LEFT(CELL("format", B2))="D")))))</formula1>
    </dataValidation>
    <dataValidation type="list" allowBlank="1" showDropDown="1" showErrorMessage="1" sqref="Q2:Q73">
      <formula1>"KT/48,PU/3843"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6.75"/>
  </cols>
  <sheetData>
    <row r="1">
      <c r="A1" s="1" t="s">
        <v>135</v>
      </c>
      <c r="B1" s="1" t="s">
        <v>136</v>
      </c>
    </row>
    <row r="2">
      <c r="A2" s="1" t="s">
        <v>137</v>
      </c>
      <c r="B2" s="2">
        <f>COUNTA(opinie!A:A)-1</f>
        <v>21</v>
      </c>
      <c r="F2" s="2" t="str">
        <f>IFERROR(__xludf.DUMMYFUNCTION("QUERY(opinie!E:E,""select E, count(E) where E is not null group by E"",0)"),"")</f>
        <v/>
      </c>
      <c r="G2" s="2" t="str">
        <f>IFERROR(__xludf.DUMMYFUNCTION("""COMPUTED_VALUE"""),"count ")</f>
        <v>count </v>
      </c>
      <c r="I2" s="2" t="str">
        <f>IFERROR(__xludf.DUMMYFUNCTION("UNIQUE(ARRAYFORMULA(TRIM(SPLIT(TEXTJOIN("","", TRUE, FILTER(opinie!E:E, (opinie!E:E&lt;&gt;"""")*(ROW(opinie!E:E)&gt;1))), "",""))))"),"Chorwacja")</f>
        <v>Chorwacja</v>
      </c>
      <c r="J2" s="2" t="str">
        <f>IFERROR(__xludf.DUMMYFUNCTION("""COMPUTED_VALUE"""),"Maroko")</f>
        <v>Maroko</v>
      </c>
      <c r="K2" s="2" t="str">
        <f>IFERROR(__xludf.DUMMYFUNCTION("""COMPUTED_VALUE"""),"Hiszpania")</f>
        <v>Hiszpania</v>
      </c>
      <c r="L2" s="2" t="str">
        <f>IFERROR(__xludf.DUMMYFUNCTION("""COMPUTED_VALUE"""),"Grecja")</f>
        <v>Grecja</v>
      </c>
      <c r="M2" s="2" t="str">
        <f>IFERROR(__xludf.DUMMYFUNCTION("""COMPUTED_VALUE"""),"Polska")</f>
        <v>Polska</v>
      </c>
      <c r="N2" s="2" t="str">
        <f>IFERROR(__xludf.DUMMYFUNCTION("""COMPUTED_VALUE"""),"Szwecja")</f>
        <v>Szwecja</v>
      </c>
      <c r="O2" s="2" t="str">
        <f>IFERROR(__xludf.DUMMYFUNCTION("""COMPUTED_VALUE"""),"Finlandia")</f>
        <v>Finlandia</v>
      </c>
      <c r="P2" s="2" t="str">
        <f>IFERROR(__xludf.DUMMYFUNCTION("""COMPUTED_VALUE"""),"Hiszpania")</f>
        <v>Hiszpania</v>
      </c>
      <c r="Q2" s="2" t="str">
        <f>IFERROR(__xludf.DUMMYFUNCTION("""COMPUTED_VALUE"""),"Polska")</f>
        <v>Polska</v>
      </c>
      <c r="R2" s="2" t="str">
        <f>IFERROR(__xludf.DUMMYFUNCTION("""COMPUTED_VALUE"""),"Holandia")</f>
        <v>Holandia</v>
      </c>
      <c r="S2" s="2" t="str">
        <f>IFERROR(__xludf.DUMMYFUNCTION("""COMPUTED_VALUE"""),"Dania")</f>
        <v>Dania</v>
      </c>
      <c r="T2" s="2" t="str">
        <f>IFERROR(__xludf.DUMMYFUNCTION("""COMPUTED_VALUE"""),"Szwecja")</f>
        <v>Szwecja</v>
      </c>
      <c r="U2" s="2" t="str">
        <f>IFERROR(__xludf.DUMMYFUNCTION("""COMPUTED_VALUE"""),"Polska")</f>
        <v>Polska</v>
      </c>
      <c r="V2" s="2" t="str">
        <f>IFERROR(__xludf.DUMMYFUNCTION("""COMPUTED_VALUE"""),"Tajlandia")</f>
        <v>Tajlandia</v>
      </c>
      <c r="W2" s="2" t="str">
        <f>IFERROR(__xludf.DUMMYFUNCTION("""COMPUTED_VALUE"""),"Norwegia")</f>
        <v>Norwegia</v>
      </c>
      <c r="X2" s="2" t="str">
        <f>IFERROR(__xludf.DUMMYFUNCTION("""COMPUTED_VALUE"""),"Szkocja")</f>
        <v>Szkocja</v>
      </c>
      <c r="Y2" s="2" t="str">
        <f>IFERROR(__xludf.DUMMYFUNCTION("""COMPUTED_VALUE"""),"Irlandia")</f>
        <v>Irlandia</v>
      </c>
      <c r="Z2" s="2" t="str">
        <f>IFERROR(__xludf.DUMMYFUNCTION("""COMPUTED_VALUE"""),"Czarnogóra")</f>
        <v>Czarnogóra</v>
      </c>
      <c r="AA2" s="2" t="str">
        <f>IFERROR(__xludf.DUMMYFUNCTION("""COMPUTED_VALUE"""),"Norwegia")</f>
        <v>Norwegia</v>
      </c>
      <c r="AB2" s="2" t="str">
        <f>IFERROR(__xludf.DUMMYFUNCTION("""COMPUTED_VALUE"""),"Norwegia")</f>
        <v>Norwegia</v>
      </c>
      <c r="AC2" s="2" t="str">
        <f>IFERROR(__xludf.DUMMYFUNCTION("""COMPUTED_VALUE"""),"Norwegia")</f>
        <v>Norwegia</v>
      </c>
      <c r="AD2" s="2" t="str">
        <f>IFERROR(__xludf.DUMMYFUNCTION("""COMPUTED_VALUE"""),"Islandia")</f>
        <v>Islandia</v>
      </c>
      <c r="AE2" s="2" t="str">
        <f>IFERROR(__xludf.DUMMYFUNCTION("""COMPUTED_VALUE"""),"Niemcy")</f>
        <v>Niemcy</v>
      </c>
      <c r="AF2" s="2" t="str">
        <f>IFERROR(__xludf.DUMMYFUNCTION("""COMPUTED_VALUE"""),"Dania")</f>
        <v>Dania</v>
      </c>
      <c r="AG2" s="2" t="str">
        <f>IFERROR(__xludf.DUMMYFUNCTION("""COMPUTED_VALUE"""),"Norwegia")</f>
        <v>Norwegia</v>
      </c>
      <c r="AH2" s="2" t="str">
        <f>IFERROR(__xludf.DUMMYFUNCTION("""COMPUTED_VALUE"""),"Szkocja")</f>
        <v>Szkocja</v>
      </c>
      <c r="AI2" s="2" t="str">
        <f>IFERROR(__xludf.DUMMYFUNCTION("""COMPUTED_VALUE"""),"Irlandia Północna")</f>
        <v>Irlandia Północna</v>
      </c>
      <c r="AJ2" s="2" t="str">
        <f>IFERROR(__xludf.DUMMYFUNCTION("""COMPUTED_VALUE"""),"Anglia")</f>
        <v>Anglia</v>
      </c>
      <c r="AK2" s="2" t="str">
        <f>IFERROR(__xludf.DUMMYFUNCTION("""COMPUTED_VALUE"""),"Argentyna")</f>
        <v>Argentyna</v>
      </c>
      <c r="AL2" s="2" t="str">
        <f>IFERROR(__xludf.DUMMYFUNCTION("""COMPUTED_VALUE"""),"Wyspy Owcze")</f>
        <v>Wyspy Owcze</v>
      </c>
      <c r="AM2" s="2" t="str">
        <f>IFERROR(__xludf.DUMMYFUNCTION("""COMPUTED_VALUE"""),"Islandia")</f>
        <v>Islandia</v>
      </c>
    </row>
    <row r="3">
      <c r="A3" s="1" t="s">
        <v>138</v>
      </c>
      <c r="B3" s="2">
        <f>SUM(opinie!L:L)</f>
        <v>7143</v>
      </c>
      <c r="F3" s="2" t="str">
        <f>IFERROR(__xludf.DUMMYFUNCTION("""COMPUTED_VALUE"""),"Argentyna")</f>
        <v>Argentyna</v>
      </c>
      <c r="G3" s="2">
        <f>IFERROR(__xludf.DUMMYFUNCTION("""COMPUTED_VALUE"""),1.0)</f>
        <v>1</v>
      </c>
    </row>
    <row r="4">
      <c r="A4" s="1" t="s">
        <v>139</v>
      </c>
      <c r="B4" s="2">
        <f>SUM(opinie!H:H)</f>
        <v>1736</v>
      </c>
      <c r="F4" s="2" t="str">
        <f>IFERROR(__xludf.DUMMYFUNCTION("""COMPUTED_VALUE"""),"Chorwacja")</f>
        <v>Chorwacja</v>
      </c>
      <c r="G4" s="2">
        <f>IFERROR(__xludf.DUMMYFUNCTION("""COMPUTED_VALUE"""),1.0)</f>
        <v>1</v>
      </c>
    </row>
    <row r="5">
      <c r="A5" s="1" t="s">
        <v>140</v>
      </c>
      <c r="B5" s="2">
        <f>SUM(opinie!I:I)</f>
        <v>510</v>
      </c>
      <c r="F5" s="2" t="str">
        <f>IFERROR(__xludf.DUMMYFUNCTION("""COMPUTED_VALUE"""),"Czarnogóra")</f>
        <v>Czarnogóra</v>
      </c>
      <c r="G5" s="2">
        <f>IFERROR(__xludf.DUMMYFUNCTION("""COMPUTED_VALUE"""),1.0)</f>
        <v>1</v>
      </c>
    </row>
    <row r="6">
      <c r="A6" s="1" t="s">
        <v>141</v>
      </c>
      <c r="B6" s="2">
        <f>SUM(opinie!J:J)</f>
        <v>906</v>
      </c>
      <c r="F6" s="2" t="str">
        <f>IFERROR(__xludf.DUMMYFUNCTION("""COMPUTED_VALUE"""),"Grecja")</f>
        <v>Grecja</v>
      </c>
      <c r="G6" s="2">
        <f>IFERROR(__xludf.DUMMYFUNCTION("""COMPUTED_VALUE"""),1.0)</f>
        <v>1</v>
      </c>
    </row>
    <row r="7">
      <c r="A7" s="1" t="s">
        <v>142</v>
      </c>
      <c r="B7" s="31">
        <f>IF(SUM(opinie!I:I)=0,0,SUM(opinie!L:L)/SUM(opinie!I:I))</f>
        <v>14.00588235</v>
      </c>
      <c r="F7" s="2" t="str">
        <f>IFERROR(__xludf.DUMMYFUNCTION("""COMPUTED_VALUE"""),"Hiszpania")</f>
        <v>Hiszpania</v>
      </c>
      <c r="G7" s="2">
        <f>IFERROR(__xludf.DUMMYFUNCTION("""COMPUTED_VALUE"""),1.0)</f>
        <v>1</v>
      </c>
    </row>
    <row r="8">
      <c r="A8" s="1" t="s">
        <v>143</v>
      </c>
      <c r="B8" s="31">
        <f>IF(SUM(opinie!J:J)=0,0,SUM(opinie!L:L)/SUM(opinie!J:J))</f>
        <v>7.88410596</v>
      </c>
      <c r="F8" s="2" t="str">
        <f>IFERROR(__xludf.DUMMYFUNCTION("""COMPUTED_VALUE"""),"Holandia, Dania, Szwecja")</f>
        <v>Holandia, Dania, Szwecja</v>
      </c>
      <c r="G8" s="2">
        <f>IFERROR(__xludf.DUMMYFUNCTION("""COMPUTED_VALUE"""),1.0)</f>
        <v>1</v>
      </c>
    </row>
    <row r="9">
      <c r="A9" s="1" t="s">
        <v>144</v>
      </c>
      <c r="B9" s="32">
        <f>IF(SUM(opinie!H:H)=0,0,SUM(opinie!I:I)/SUM(opinie!H:H))</f>
        <v>0.2937788018</v>
      </c>
      <c r="F9" s="2" t="str">
        <f>IFERROR(__xludf.DUMMYFUNCTION("""COMPUTED_VALUE"""),"Islandia")</f>
        <v>Islandia</v>
      </c>
      <c r="G9" s="2">
        <f>IFERROR(__xludf.DUMMYFUNCTION("""COMPUTED_VALUE"""),1.0)</f>
        <v>1</v>
      </c>
    </row>
    <row r="10">
      <c r="A10" s="1" t="s">
        <v>145</v>
      </c>
      <c r="B10" s="32">
        <f>IF(SUM(opinie!H:H)=0,0,SUM(opinie!J:J)/SUM(opinie!H:H))</f>
        <v>0.5218894009</v>
      </c>
      <c r="F10" s="2" t="str">
        <f>IFERROR(__xludf.DUMMYFUNCTION("""COMPUTED_VALUE"""),"Kraj")</f>
        <v>Kraj</v>
      </c>
      <c r="G10" s="2">
        <f>IFERROR(__xludf.DUMMYFUNCTION("""COMPUTED_VALUE"""),1.0)</f>
        <v>1</v>
      </c>
    </row>
    <row r="11">
      <c r="A11" s="1" t="s">
        <v>146</v>
      </c>
      <c r="B11" s="33">
        <f>IFERROR(__xludf.DUMMYFUNCTION("AVERAGE(FILTER(opinie!M:M, opinie!M:M&gt;0))"),7.428571428571429)</f>
        <v>7.428571429</v>
      </c>
      <c r="F11" s="2" t="str">
        <f>IFERROR(__xludf.DUMMYFUNCTION("""COMPUTED_VALUE"""),"Maroko, Hiszpania")</f>
        <v>Maroko, Hiszpania</v>
      </c>
      <c r="G11" s="2">
        <f>IFERROR(__xludf.DUMMYFUNCTION("""COMPUTED_VALUE"""),1.0)</f>
        <v>1</v>
      </c>
    </row>
    <row r="12">
      <c r="A12" s="1" t="s">
        <v>147</v>
      </c>
      <c r="B12" s="34">
        <f>IFERROR(__xludf.DUMMYFUNCTION("MAX(FILTER(opinie!M:M, opinie!M:M&gt;0))"),13.0)</f>
        <v>13</v>
      </c>
      <c r="F12" s="2" t="str">
        <f>IFERROR(__xludf.DUMMYFUNCTION("""COMPUTED_VALUE"""),"Niemcy, Dania")</f>
        <v>Niemcy, Dania</v>
      </c>
      <c r="G12" s="2">
        <f>IFERROR(__xludf.DUMMYFUNCTION("""COMPUTED_VALUE"""),1.0)</f>
        <v>1</v>
      </c>
    </row>
    <row r="13">
      <c r="A13" s="1" t="s">
        <v>148</v>
      </c>
      <c r="B13" s="2">
        <f>IFERROR(__xludf.DUMMYFUNCTION("MIN(FILTER(opinie!M:M, opinie!M:M&gt;0))"),3.0)</f>
        <v>3</v>
      </c>
      <c r="F13" s="2" t="str">
        <f>IFERROR(__xludf.DUMMYFUNCTION("""COMPUTED_VALUE"""),"Norwegia")</f>
        <v>Norwegia</v>
      </c>
      <c r="G13" s="2">
        <f>IFERROR(__xludf.DUMMYFUNCTION("""COMPUTED_VALUE"""),4.0)</f>
        <v>4</v>
      </c>
    </row>
    <row r="14">
      <c r="A14" s="1" t="s">
        <v>149</v>
      </c>
      <c r="B14" s="30">
        <f>SUM(opinie!U:U)</f>
        <v>34720</v>
      </c>
      <c r="F14" s="2" t="str">
        <f>IFERROR(__xludf.DUMMYFUNCTION("""COMPUTED_VALUE"""),"Norwegia, Szkocja, Irlandia")</f>
        <v>Norwegia, Szkocja, Irlandia</v>
      </c>
      <c r="G14" s="2">
        <f>IFERROR(__xludf.DUMMYFUNCTION("""COMPUTED_VALUE"""),1.0)</f>
        <v>1</v>
      </c>
    </row>
    <row r="15">
      <c r="A15" s="1" t="s">
        <v>150</v>
      </c>
      <c r="B15" s="30">
        <f>IFERROR(__xludf.DUMMYFUNCTION("AVERAGE(FILTER(opinie!U:U, opinie!U:U&gt;0))"),6944.0)</f>
        <v>6944</v>
      </c>
      <c r="F15" s="2" t="str">
        <f>IFERROR(__xludf.DUMMYFUNCTION("""COMPUTED_VALUE"""),"Polska")</f>
        <v>Polska</v>
      </c>
      <c r="G15" s="2">
        <f>IFERROR(__xludf.DUMMYFUNCTION("""COMPUTED_VALUE"""),3.0)</f>
        <v>3</v>
      </c>
    </row>
    <row r="16">
      <c r="A16" s="1" t="s">
        <v>151</v>
      </c>
      <c r="B16" s="35">
        <f>IF(SUM(opinie!L:L)=0,0,SUM(opinie!U:U)/SUM(opinie!L:L))</f>
        <v>4.860702786</v>
      </c>
      <c r="F16" s="2" t="str">
        <f>IFERROR(__xludf.DUMMYFUNCTION("""COMPUTED_VALUE"""),"Szkocja, Irlandia Północna, Anglia")</f>
        <v>Szkocja, Irlandia Północna, Anglia</v>
      </c>
      <c r="G16" s="2">
        <f>IFERROR(__xludf.DUMMYFUNCTION("""COMPUTED_VALUE"""),1.0)</f>
        <v>1</v>
      </c>
    </row>
    <row r="17">
      <c r="A17" s="1" t="s">
        <v>152</v>
      </c>
      <c r="B17" s="35">
        <f>IF(SUM(opinie!M:M)=0,0,SUM(opinie!U:U)/SUM(opinie!M:M))</f>
        <v>222.5641026</v>
      </c>
      <c r="F17" s="2" t="str">
        <f>IFERROR(__xludf.DUMMYFUNCTION("""COMPUTED_VALUE"""),"Szwecja, Finlandia")</f>
        <v>Szwecja, Finlandia</v>
      </c>
      <c r="G17" s="2">
        <f>IFERROR(__xludf.DUMMYFUNCTION("""COMPUTED_VALUE"""),1.0)</f>
        <v>1</v>
      </c>
    </row>
    <row r="18">
      <c r="A18" s="1" t="s">
        <v>153</v>
      </c>
      <c r="B18" s="1">
        <f>IFERROR(__xludf.DUMMYFUNCTION("COUNTA(UNIQUE(TRANSPOSE(SPLIT(TEXTJOIN("", "", TRUE, FILTER(opinie!E2:E1000, opinie!E2:E1000&lt;&gt;"""")), "", ""))))-1"),20.0)</f>
        <v>20</v>
      </c>
      <c r="F18" s="2" t="str">
        <f>IFERROR(__xludf.DUMMYFUNCTION("""COMPUTED_VALUE"""),"Tajlandia")</f>
        <v>Tajlandia</v>
      </c>
      <c r="G18" s="2">
        <f>IFERROR(__xludf.DUMMYFUNCTION("""COMPUTED_VALUE"""),1.0)</f>
        <v>1</v>
      </c>
    </row>
    <row r="19">
      <c r="A19" s="1" t="s">
        <v>154</v>
      </c>
      <c r="B19" s="36" t="str">
        <f t="array" ref="B19">INDEX(F2:F1000, MATCH(MAX(G2:G1000), G2:G1000, 0))</f>
        <v>Norwegia</v>
      </c>
      <c r="F19" s="2" t="str">
        <f>IFERROR(__xludf.DUMMYFUNCTION("""COMPUTED_VALUE"""),"Wyspy Owcze, Islandia")</f>
        <v>Wyspy Owcze, Islandia</v>
      </c>
      <c r="G19" s="2">
        <f>IFERROR(__xludf.DUMMYFUNCTION("""COMPUTED_VALUE"""),1.0)</f>
        <v>1</v>
      </c>
    </row>
    <row r="20">
      <c r="A20" s="1" t="s">
        <v>155</v>
      </c>
      <c r="B20" s="30">
        <f>IFERROR(__xludf.DUMMYFUNCTION("IF(COUNTA(FILTER(opinie!L:L, opinie!L:L&gt;0))=0,0,SUM(opinie!L:L)/COUNTA(FILTER(opinie!L:L, opinie!L:L&gt;0)))"),324.6818181818182)</f>
        <v>324.6818182</v>
      </c>
    </row>
    <row r="21">
      <c r="A21" s="1" t="s">
        <v>156</v>
      </c>
      <c r="B21" s="35">
        <f>SUM(opinie!M:M)</f>
        <v>156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IFERROR(__xludf.DUMMYFUNCTION("QUERY(opinie!B:L, ""select B, sum(L) where B is not null group by B label sum(L) 'Total miles'"", 0)"),"")</f>
        <v/>
      </c>
      <c r="B1" s="2" t="str">
        <f>IFERROR(__xludf.DUMMYFUNCTION("""COMPUTED_VALUE"""),"Total miles")</f>
        <v>Total miles</v>
      </c>
    </row>
    <row r="2">
      <c r="A2" s="2">
        <f>IFERROR(__xludf.DUMMYFUNCTION("""COMPUTED_VALUE"""),2013.0)</f>
        <v>2013</v>
      </c>
      <c r="B2" s="2">
        <f>IFERROR(__xludf.DUMMYFUNCTION("""COMPUTED_VALUE"""),238.0)</f>
        <v>238</v>
      </c>
    </row>
    <row r="3">
      <c r="A3" s="2">
        <f>IFERROR(__xludf.DUMMYFUNCTION("""COMPUTED_VALUE"""),2014.0)</f>
        <v>2014</v>
      </c>
      <c r="B3" s="2">
        <f>IFERROR(__xludf.DUMMYFUNCTION("""COMPUTED_VALUE"""),600.0)</f>
        <v>600</v>
      </c>
    </row>
    <row r="4">
      <c r="A4" s="2">
        <f>IFERROR(__xludf.DUMMYFUNCTION("""COMPUTED_VALUE"""),2017.0)</f>
        <v>2017</v>
      </c>
      <c r="B4" s="2">
        <f>IFERROR(__xludf.DUMMYFUNCTION("""COMPUTED_VALUE"""),818.0)</f>
        <v>818</v>
      </c>
    </row>
    <row r="5">
      <c r="A5" s="2">
        <f>IFERROR(__xludf.DUMMYFUNCTION("""COMPUTED_VALUE"""),2018.0)</f>
        <v>2018</v>
      </c>
      <c r="B5" s="2">
        <f>IFERROR(__xludf.DUMMYFUNCTION("""COMPUTED_VALUE"""),380.0)</f>
        <v>380</v>
      </c>
    </row>
    <row r="6">
      <c r="A6" s="2">
        <f>IFERROR(__xludf.DUMMYFUNCTION("""COMPUTED_VALUE"""),2019.0)</f>
        <v>2019</v>
      </c>
      <c r="B6" s="2">
        <f>IFERROR(__xludf.DUMMYFUNCTION("""COMPUTED_VALUE"""),1564.0)</f>
        <v>1564</v>
      </c>
    </row>
    <row r="7">
      <c r="A7" s="2">
        <f>IFERROR(__xludf.DUMMYFUNCTION("""COMPUTED_VALUE"""),2020.0)</f>
        <v>2020</v>
      </c>
      <c r="B7" s="2">
        <f>IFERROR(__xludf.DUMMYFUNCTION("""COMPUTED_VALUE"""),93.0)</f>
        <v>93</v>
      </c>
    </row>
    <row r="8">
      <c r="A8" s="2">
        <f>IFERROR(__xludf.DUMMYFUNCTION("""COMPUTED_VALUE"""),2022.0)</f>
        <v>2022</v>
      </c>
      <c r="B8" s="2">
        <f>IFERROR(__xludf.DUMMYFUNCTION("""COMPUTED_VALUE"""),1201.0)</f>
        <v>1201</v>
      </c>
    </row>
    <row r="9">
      <c r="A9" s="2">
        <f>IFERROR(__xludf.DUMMYFUNCTION("""COMPUTED_VALUE"""),2023.0)</f>
        <v>2023</v>
      </c>
      <c r="B9" s="2">
        <f>IFERROR(__xludf.DUMMYFUNCTION("""COMPUTED_VALUE"""),675.0)</f>
        <v>675</v>
      </c>
    </row>
    <row r="10">
      <c r="A10" s="2">
        <f>IFERROR(__xludf.DUMMYFUNCTION("""COMPUTED_VALUE"""),2024.0)</f>
        <v>2024</v>
      </c>
      <c r="B10" s="2">
        <f>IFERROR(__xludf.DUMMYFUNCTION("""COMPUTED_VALUE"""),677.0)</f>
        <v>677</v>
      </c>
    </row>
    <row r="11">
      <c r="A11" s="2">
        <f>IFERROR(__xludf.DUMMYFUNCTION("""COMPUTED_VALUE"""),2025.0)</f>
        <v>2025</v>
      </c>
      <c r="B11" s="2">
        <f>IFERROR(__xludf.DUMMYFUNCTION("""COMPUTED_VALUE"""),897.0)</f>
        <v>897</v>
      </c>
    </row>
    <row r="14">
      <c r="A14" s="1" t="s">
        <v>157</v>
      </c>
      <c r="B14" s="1">
        <f>SUM(opinie!I:I)</f>
        <v>510</v>
      </c>
    </row>
    <row r="15">
      <c r="A15" s="1" t="s">
        <v>158</v>
      </c>
      <c r="B15" s="2">
        <f>SUM(opinie!J:J)</f>
        <v>906</v>
      </c>
    </row>
    <row r="36">
      <c r="A36" s="2" t="str">
        <f>IFERROR(__xludf.DUMMYFUNCTION("QUERY(opinie!B:U, ""select B, sum(U) where B is not null group by B label sum(U) 'Total cost'"", 0)"),"")</f>
        <v/>
      </c>
      <c r="B36" s="2" t="str">
        <f>IFERROR(__xludf.DUMMYFUNCTION("""COMPUTED_VALUE"""),"Total cost")</f>
        <v>Total cost</v>
      </c>
      <c r="D36" s="1" t="s">
        <v>159</v>
      </c>
    </row>
    <row r="37">
      <c r="A37" s="2">
        <f>IFERROR(__xludf.DUMMYFUNCTION("""COMPUTED_VALUE"""),2013.0)</f>
        <v>2013</v>
      </c>
      <c r="B37" s="2">
        <f>IFERROR(__xludf.DUMMYFUNCTION("""COMPUTED_VALUE"""),0.0)</f>
        <v>0</v>
      </c>
      <c r="D37" s="2" t="str">
        <f>IFERROR(__xludf.DUMMYFUNCTION("QUERY(opinie!B:B, ""select B, count(B) where B is not null group by B label count(B) 'Trips count'"", 0)"),"")</f>
        <v/>
      </c>
      <c r="E37" s="2" t="str">
        <f>IFERROR(__xludf.DUMMYFUNCTION("""COMPUTED_VALUE"""),"Trips count")</f>
        <v>Trips count</v>
      </c>
    </row>
    <row r="38">
      <c r="A38" s="2">
        <f>IFERROR(__xludf.DUMMYFUNCTION("""COMPUTED_VALUE"""),2014.0)</f>
        <v>2014</v>
      </c>
      <c r="B38" s="2">
        <f>IFERROR(__xludf.DUMMYFUNCTION("""COMPUTED_VALUE"""),0.0)</f>
        <v>0</v>
      </c>
      <c r="D38" s="2">
        <f>IFERROR(__xludf.DUMMYFUNCTION("""COMPUTED_VALUE"""),2013.0)</f>
        <v>2013</v>
      </c>
      <c r="E38" s="2">
        <f>IFERROR(__xludf.DUMMYFUNCTION("""COMPUTED_VALUE"""),1.0)</f>
        <v>1</v>
      </c>
    </row>
    <row r="39">
      <c r="A39" s="2">
        <f>IFERROR(__xludf.DUMMYFUNCTION("""COMPUTED_VALUE"""),2017.0)</f>
        <v>2017</v>
      </c>
      <c r="B39" s="2">
        <f>IFERROR(__xludf.DUMMYFUNCTION("""COMPUTED_VALUE"""),0.0)</f>
        <v>0</v>
      </c>
      <c r="D39" s="2">
        <f>IFERROR(__xludf.DUMMYFUNCTION("""COMPUTED_VALUE"""),2014.0)</f>
        <v>2014</v>
      </c>
      <c r="E39" s="2">
        <f>IFERROR(__xludf.DUMMYFUNCTION("""COMPUTED_VALUE"""),1.0)</f>
        <v>1</v>
      </c>
    </row>
    <row r="40">
      <c r="A40" s="2">
        <f>IFERROR(__xludf.DUMMYFUNCTION("""COMPUTED_VALUE"""),2018.0)</f>
        <v>2018</v>
      </c>
      <c r="B40" s="2">
        <f>IFERROR(__xludf.DUMMYFUNCTION("""COMPUTED_VALUE"""),0.0)</f>
        <v>0</v>
      </c>
      <c r="D40" s="2">
        <f>IFERROR(__xludf.DUMMYFUNCTION("""COMPUTED_VALUE"""),2017.0)</f>
        <v>2017</v>
      </c>
      <c r="E40" s="2">
        <f>IFERROR(__xludf.DUMMYFUNCTION("""COMPUTED_VALUE"""),3.0)</f>
        <v>3</v>
      </c>
    </row>
    <row r="41">
      <c r="A41" s="2">
        <f>IFERROR(__xludf.DUMMYFUNCTION("""COMPUTED_VALUE"""),2019.0)</f>
        <v>2019</v>
      </c>
      <c r="B41" s="2">
        <f>IFERROR(__xludf.DUMMYFUNCTION("""COMPUTED_VALUE"""),0.0)</f>
        <v>0</v>
      </c>
      <c r="D41" s="2">
        <f>IFERROR(__xludf.DUMMYFUNCTION("""COMPUTED_VALUE"""),2018.0)</f>
        <v>2018</v>
      </c>
      <c r="E41" s="2">
        <f>IFERROR(__xludf.DUMMYFUNCTION("""COMPUTED_VALUE"""),2.0)</f>
        <v>2</v>
      </c>
    </row>
    <row r="42">
      <c r="A42" s="2">
        <f>IFERROR(__xludf.DUMMYFUNCTION("""COMPUTED_VALUE"""),2020.0)</f>
        <v>2020</v>
      </c>
      <c r="B42" s="2">
        <f>IFERROR(__xludf.DUMMYFUNCTION("""COMPUTED_VALUE"""),0.0)</f>
        <v>0</v>
      </c>
      <c r="D42" s="2">
        <f>IFERROR(__xludf.DUMMYFUNCTION("""COMPUTED_VALUE"""),2019.0)</f>
        <v>2019</v>
      </c>
      <c r="E42" s="2">
        <f>IFERROR(__xludf.DUMMYFUNCTION("""COMPUTED_VALUE"""),4.0)</f>
        <v>4</v>
      </c>
    </row>
    <row r="43">
      <c r="A43" s="2">
        <f>IFERROR(__xludf.DUMMYFUNCTION("""COMPUTED_VALUE"""),2022.0)</f>
        <v>2022</v>
      </c>
      <c r="B43" s="2">
        <f>IFERROR(__xludf.DUMMYFUNCTION("""COMPUTED_VALUE"""),0.0)</f>
        <v>0</v>
      </c>
      <c r="D43" s="2">
        <f>IFERROR(__xludf.DUMMYFUNCTION("""COMPUTED_VALUE"""),2020.0)</f>
        <v>2020</v>
      </c>
      <c r="E43" s="2">
        <f>IFERROR(__xludf.DUMMYFUNCTION("""COMPUTED_VALUE"""),1.0)</f>
        <v>1</v>
      </c>
    </row>
    <row r="44">
      <c r="A44" s="2">
        <f>IFERROR(__xludf.DUMMYFUNCTION("""COMPUTED_VALUE"""),2023.0)</f>
        <v>2023</v>
      </c>
      <c r="B44" s="2">
        <f>IFERROR(__xludf.DUMMYFUNCTION("""COMPUTED_VALUE"""),1920.0)</f>
        <v>1920</v>
      </c>
      <c r="D44" s="2">
        <f>IFERROR(__xludf.DUMMYFUNCTION("""COMPUTED_VALUE"""),2022.0)</f>
        <v>2022</v>
      </c>
      <c r="E44" s="2">
        <f>IFERROR(__xludf.DUMMYFUNCTION("""COMPUTED_VALUE"""),3.0)</f>
        <v>3</v>
      </c>
    </row>
    <row r="45">
      <c r="A45" s="2">
        <f>IFERROR(__xludf.DUMMYFUNCTION("""COMPUTED_VALUE"""),2024.0)</f>
        <v>2024</v>
      </c>
      <c r="B45" s="2">
        <f>IFERROR(__xludf.DUMMYFUNCTION("""COMPUTED_VALUE"""),8800.0)</f>
        <v>8800</v>
      </c>
      <c r="D45" s="2">
        <f>IFERROR(__xludf.DUMMYFUNCTION("""COMPUTED_VALUE"""),2023.0)</f>
        <v>2023</v>
      </c>
      <c r="E45" s="2">
        <f>IFERROR(__xludf.DUMMYFUNCTION("""COMPUTED_VALUE"""),2.0)</f>
        <v>2</v>
      </c>
    </row>
    <row r="46">
      <c r="A46" s="2">
        <f>IFERROR(__xludf.DUMMYFUNCTION("""COMPUTED_VALUE"""),2025.0)</f>
        <v>2025</v>
      </c>
      <c r="B46" s="2">
        <f>IFERROR(__xludf.DUMMYFUNCTION("""COMPUTED_VALUE"""),24000.0)</f>
        <v>24000</v>
      </c>
      <c r="D46" s="2">
        <f>IFERROR(__xludf.DUMMYFUNCTION("""COMPUTED_VALUE"""),2024.0)</f>
        <v>2024</v>
      </c>
      <c r="E46" s="2">
        <f>IFERROR(__xludf.DUMMYFUNCTION("""COMPUTED_VALUE"""),2.0)</f>
        <v>2</v>
      </c>
    </row>
    <row r="47">
      <c r="D47" s="2">
        <f>IFERROR(__xludf.DUMMYFUNCTION("""COMPUTED_VALUE"""),2025.0)</f>
        <v>2025</v>
      </c>
      <c r="E47" s="2">
        <f>IFERROR(__xludf.DUMMYFUNCTION("""COMPUTED_VALUE"""),2.0)</f>
        <v>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</row>
    <row r="2">
      <c r="B2" s="1" t="s">
        <v>164</v>
      </c>
      <c r="C2" s="1" t="s">
        <v>85</v>
      </c>
      <c r="D2" s="1" t="s">
        <v>85</v>
      </c>
    </row>
    <row r="3">
      <c r="A3" s="37">
        <v>45676.0</v>
      </c>
      <c r="B3" s="1" t="s">
        <v>165</v>
      </c>
      <c r="C3" s="1" t="s">
        <v>166</v>
      </c>
      <c r="D3" s="1">
        <v>450.0</v>
      </c>
    </row>
    <row r="4">
      <c r="A4" s="37">
        <v>45806.0</v>
      </c>
      <c r="B4" s="1" t="s">
        <v>167</v>
      </c>
      <c r="C4" s="1" t="s">
        <v>168</v>
      </c>
      <c r="D4" s="1">
        <v>1550.0</v>
      </c>
      <c r="E4" s="38" t="s">
        <v>169</v>
      </c>
    </row>
    <row r="5">
      <c r="A5" s="37">
        <v>45935.0</v>
      </c>
      <c r="B5" s="1" t="s">
        <v>170</v>
      </c>
      <c r="C5" s="1" t="s">
        <v>171</v>
      </c>
      <c r="D5" s="1">
        <v>625.0</v>
      </c>
    </row>
  </sheetData>
  <hyperlinks>
    <hyperlink r:id="rId1" ref="E4"/>
  </hyperlinks>
  <drawing r:id="rId2"/>
</worksheet>
</file>